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comments/comment4.xml" ContentType="application/vnd.openxmlformats-officedocument.spreadsheetml.comments+xml"/>
  <Override PartName="/xl/worksheets/sheet16.xml" ContentType="application/vnd.openxmlformats-officedocument.spreadsheetml.worksheet+xml"/>
  <Override PartName="/xl/comments/comment5.xml" ContentType="application/vnd.openxmlformats-officedocument.spreadsheetml.comments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Правила" sheetId="1" state="visible" r:id="rId1"/>
    <sheet xmlns:r="http://schemas.openxmlformats.org/officeDocument/2006/relationships" name="Четвертные" sheetId="2" state="visible" r:id="rId2"/>
    <sheet xmlns:r="http://schemas.openxmlformats.org/officeDocument/2006/relationships" name="Отличники и хорошисты" sheetId="3" state="visible" r:id="rId3"/>
    <sheet xmlns:r="http://schemas.openxmlformats.org/officeDocument/2006/relationships" name="Сводка" sheetId="4" state="visible" r:id="rId4"/>
    <sheet xmlns:r="http://schemas.openxmlformats.org/officeDocument/2006/relationships" name="8А Алгебра" sheetId="5" state="visible" r:id="rId5"/>
    <sheet xmlns:r="http://schemas.openxmlformats.org/officeDocument/2006/relationships" name="8А Геометрия" sheetId="6" state="visible" r:id="rId6"/>
    <sheet xmlns:r="http://schemas.openxmlformats.org/officeDocument/2006/relationships" name="8Б Алгебра" sheetId="7" state="visible" r:id="rId7"/>
    <sheet xmlns:r="http://schemas.openxmlformats.org/officeDocument/2006/relationships" name="8Б Геометрия" sheetId="8" state="visible" r:id="rId8"/>
    <sheet xmlns:r="http://schemas.openxmlformats.org/officeDocument/2006/relationships" name="9Б Алгебра" sheetId="9" state="visible" r:id="rId9"/>
    <sheet xmlns:r="http://schemas.openxmlformats.org/officeDocument/2006/relationships" name="9Б Геометрия" sheetId="10" state="visible" r:id="rId10"/>
    <sheet xmlns:r="http://schemas.openxmlformats.org/officeDocument/2006/relationships" name="10А Алгебра" sheetId="11" state="visible" r:id="rId11"/>
    <sheet xmlns:r="http://schemas.openxmlformats.org/officeDocument/2006/relationships" name="10А Геометрия" sheetId="12" state="visible" r:id="rId12"/>
    <sheet xmlns:r="http://schemas.openxmlformats.org/officeDocument/2006/relationships" name="8А СОР-СОЧ" sheetId="13" state="visible" r:id="rId13"/>
    <sheet xmlns:r="http://schemas.openxmlformats.org/officeDocument/2006/relationships" name="8Б СОР-СОЧ" sheetId="14" state="visible" r:id="rId14"/>
    <sheet xmlns:r="http://schemas.openxmlformats.org/officeDocument/2006/relationships" name="9Б СОР-СОЧ" sheetId="15" state="visible" r:id="rId15"/>
    <sheet xmlns:r="http://schemas.openxmlformats.org/officeDocument/2006/relationships" name="10А СОР-СОЧ" sheetId="16" state="visible" r:id="rId16"/>
    <sheet xmlns:r="http://schemas.openxmlformats.org/officeDocument/2006/relationships" name="Легенда" sheetId="17" state="visible" r:id="rId17"/>
  </sheets>
  <definedNames>
    <definedName name="_xlnm._FilterDatabase" localSheetId="1" hidden="1">'Четвертные'!$A$3:$N$62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8">
    <font>
      <name val="Calibri"/>
      <charset val="1"/>
      <family val="2"/>
      <color theme="1"/>
      <sz val="11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Calibri"/>
      <charset val="1"/>
      <family val="0"/>
      <b val="1"/>
      <color rgb="FF1F4E78"/>
      <sz val="14"/>
    </font>
    <font>
      <name val="Calibri"/>
      <charset val="1"/>
      <family val="0"/>
      <b val="1"/>
      <sz val="11"/>
    </font>
    <font>
      <name val="Calibri"/>
      <charset val="1"/>
      <family val="0"/>
      <color rgb="FF0000FF"/>
      <sz val="11"/>
    </font>
    <font>
      <name val="Calibri"/>
      <charset val="1"/>
      <family val="0"/>
      <i val="1"/>
      <color rgb="FF555555"/>
      <sz val="10"/>
    </font>
    <font>
      <name val="Calibri"/>
      <charset val="1"/>
      <family val="0"/>
      <b val="1"/>
      <sz val="10"/>
    </font>
    <font>
      <name val="Calibri"/>
      <charset val="1"/>
      <family val="0"/>
      <sz val="11"/>
    </font>
    <font>
      <name val="Calibri"/>
      <charset val="1"/>
      <family val="0"/>
      <i val="1"/>
      <color rgb="FF666666"/>
      <sz val="9"/>
    </font>
    <font>
      <name val="Calibri"/>
      <charset val="1"/>
      <family val="0"/>
      <b val="1"/>
      <sz val="12"/>
    </font>
    <font>
      <name val="Calibri"/>
      <charset val="1"/>
      <family val="0"/>
      <b val="1"/>
      <color rgb="FF1F4E78"/>
      <sz val="12"/>
    </font>
    <font>
      <name val="Cambria"/>
      <charset val="1"/>
      <family val="0"/>
      <b val="1"/>
      <color rgb="FFFFFFFF"/>
      <sz val="14"/>
    </font>
    <font>
      <name val="Cambria"/>
      <charset val="1"/>
      <family val="0"/>
      <b val="1"/>
      <sz val="10"/>
    </font>
    <font>
      <name val="Cambria"/>
      <charset val="1"/>
      <family val="0"/>
      <b val="1"/>
      <sz val="11"/>
    </font>
    <font>
      <name val="Arial"/>
      <charset val="204"/>
      <family val="2"/>
      <sz val="10"/>
    </font>
    <font>
      <name val="Calibri"/>
      <charset val="1"/>
      <family val="0"/>
      <i val="1"/>
      <color rgb="FF666666"/>
      <sz val="10"/>
    </font>
  </fonts>
  <fills count="14">
    <fill>
      <patternFill/>
    </fill>
    <fill>
      <patternFill patternType="gray125"/>
    </fill>
    <fill>
      <patternFill patternType="solid">
        <fgColor rgb="FFD9E1F2"/>
        <bgColor rgb="FFE4DFEC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C6EFCE"/>
        <bgColor rgb="FFE2EFDA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1F4E78"/>
        <bgColor rgb="FF003366"/>
      </patternFill>
    </fill>
    <fill>
      <patternFill patternType="solid">
        <fgColor rgb="FFE4DFEC"/>
        <bgColor rgb="FFD9E1F2"/>
      </patternFill>
    </fill>
    <fill>
      <patternFill patternType="solid">
        <fgColor rgb="FFF5DEB3"/>
        <bgColor rgb="FFFCE4D6"/>
      </patternFill>
    </fill>
    <fill>
      <patternFill patternType="solid">
        <fgColor rgb="FF90EE90"/>
        <bgColor rgb="FFC6EFCE"/>
      </patternFill>
    </fill>
    <fill>
      <patternFill patternType="solid">
        <fgColor rgb="FFFFB6C1"/>
        <bgColor rgb="FFF8CBAD"/>
      </patternFill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9" fontId="6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9" fontId="9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/>
    </xf>
    <xf numFmtId="9" fontId="9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center" wrapText="1"/>
    </xf>
    <xf numFmtId="9" fontId="9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8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left" vertical="bottom"/>
    </xf>
    <xf numFmtId="9" fontId="0" fillId="0" borderId="1" applyAlignment="1" pivotButton="0" quotePrefix="0" xfId="0">
      <alignment horizontal="center" vertical="bottom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center" vertical="center" wrapText="1"/>
    </xf>
    <xf numFmtId="0" fontId="14" fillId="2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/>
    </xf>
    <xf numFmtId="0" fontId="14" fillId="3" borderId="3" applyAlignment="1" pivotButton="0" quotePrefix="0" xfId="0">
      <alignment horizontal="center" vertical="center" wrapText="1"/>
    </xf>
    <xf numFmtId="0" fontId="14" fillId="9" borderId="3" applyAlignment="1" pivotButton="0" quotePrefix="0" xfId="0">
      <alignment horizontal="center" vertical="center" wrapText="1"/>
    </xf>
    <xf numFmtId="0" fontId="0" fillId="10" borderId="3" applyAlignment="1" pivotButton="0" quotePrefix="0" xfId="0">
      <alignment horizontal="center" vertical="center" wrapText="1"/>
    </xf>
    <xf numFmtId="0" fontId="0" fillId="11" borderId="3" applyAlignment="1" pivotButton="0" quotePrefix="0" xfId="0">
      <alignment horizontal="center" vertical="center" wrapText="1"/>
    </xf>
    <xf numFmtId="0" fontId="0" fillId="12" borderId="3" applyAlignment="1" pivotButton="0" quotePrefix="0" xfId="0">
      <alignment horizontal="center" vertical="center" wrapText="1"/>
    </xf>
    <xf numFmtId="0" fontId="6" fillId="11" borderId="3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10" borderId="3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9" fontId="5" fillId="0" borderId="0" applyAlignment="1" pivotButton="0" quotePrefix="0" xfId="0">
      <alignment horizontal="center" vertical="center" wrapText="1"/>
    </xf>
    <xf numFmtId="0" fontId="0" fillId="12" borderId="3" applyAlignment="1" pivotButton="0" quotePrefix="0" xfId="0">
      <alignment horizontal="general" vertical="bottom"/>
    </xf>
    <xf numFmtId="0" fontId="0" fillId="10" borderId="3" applyAlignment="1" pivotButton="0" quotePrefix="0" xfId="0">
      <alignment horizontal="general" vertical="bottom"/>
    </xf>
    <xf numFmtId="0" fontId="0" fillId="11" borderId="3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9" fontId="6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9" fontId="9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/>
    </xf>
    <xf numFmtId="9" fontId="9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center" wrapText="1"/>
    </xf>
    <xf numFmtId="9" fontId="9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8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left" vertical="bottom"/>
    </xf>
    <xf numFmtId="9" fontId="0" fillId="0" borderId="1" applyAlignment="1" pivotButton="0" quotePrefix="0" xfId="0">
      <alignment horizontal="center" vertical="bottom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center" vertical="center" wrapText="1"/>
    </xf>
    <xf numFmtId="0" fontId="14" fillId="2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/>
    </xf>
    <xf numFmtId="0" fontId="14" fillId="3" borderId="3" applyAlignment="1" pivotButton="0" quotePrefix="0" xfId="0">
      <alignment horizontal="center" vertical="center" wrapText="1"/>
    </xf>
    <xf numFmtId="0" fontId="14" fillId="9" borderId="3" applyAlignment="1" pivotButton="0" quotePrefix="0" xfId="0">
      <alignment horizontal="center" vertical="center" wrapText="1"/>
    </xf>
    <xf numFmtId="0" fontId="0" fillId="10" borderId="3" applyAlignment="1" pivotButton="0" quotePrefix="0" xfId="0">
      <alignment horizontal="center" vertical="center" wrapText="1"/>
    </xf>
    <xf numFmtId="0" fontId="0" fillId="11" borderId="3" applyAlignment="1" pivotButton="0" quotePrefix="0" xfId="0">
      <alignment horizontal="center" vertical="center" wrapText="1"/>
    </xf>
    <xf numFmtId="0" fontId="0" fillId="12" borderId="3" applyAlignment="1" pivotButton="0" quotePrefix="0" xfId="0">
      <alignment horizontal="center" vertical="center" wrapText="1"/>
    </xf>
    <xf numFmtId="0" fontId="6" fillId="11" borderId="3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10" borderId="3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9" fontId="5" fillId="0" borderId="0" applyAlignment="1" pivotButton="0" quotePrefix="0" xfId="0">
      <alignment horizontal="center" vertical="center" wrapText="1"/>
    </xf>
    <xf numFmtId="0" fontId="0" fillId="12" borderId="3" applyAlignment="1" pivotButton="0" quotePrefix="0" xfId="0">
      <alignment horizontal="general" vertical="bottom"/>
    </xf>
    <xf numFmtId="0" fontId="0" fillId="10" borderId="3" applyAlignment="1" pivotButton="0" quotePrefix="0" xfId="0">
      <alignment horizontal="general" vertical="bottom"/>
    </xf>
    <xf numFmtId="0" fontId="0" fillId="11" borderId="3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5DEB3"/>
      <rgbColor rgb="FFE4DFEC"/>
      <rgbColor rgb="FFFFB6C1"/>
      <rgbColor rgb="FFFCE4D6"/>
      <rgbColor rgb="FFF8CBAD"/>
      <rgbColor rgb="FF3366FF"/>
      <rgbColor rgb="FF33CCCC"/>
      <rgbColor rgb="FF90EE9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55555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Unknown Author</author>
  </authors>
  <commentList>
    <comment ref="I14" authorId="0" shapeId="0">
      <text>
        <t>Добавлено 21.10.2026</t>
      </text>
    </comment>
    <comment ref="M14" authorId="0" shapeId="0">
      <text>
        <t>Добавлено 21.10.2026</t>
      </text>
    </comment>
    <comment ref="U14" authorId="0" shapeId="0">
      <text>
        <t>Добавлено 21.10.2026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C7" authorId="0" shapeId="0">
      <text>
        <t>+1 балл, 21.10.2026</t>
      </text>
    </comment>
    <comment ref="E10" authorId="0" shapeId="0">
      <text>
        <t>исправлено 8 → 9</t>
      </text>
    </comment>
    <comment ref="G14" authorId="0" shapeId="0">
      <text>
        <t>исправлено, читается как 14 (возможно 13)</t>
      </text>
    </comment>
    <comment ref="C15" authorId="0" shapeId="0">
      <text>
        <t>+1 балл, 21.10.2026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E4" authorId="0" shapeId="0">
      <text>
        <t>исправлено 8 → 9</t>
      </text>
    </comment>
    <comment ref="C5" authorId="0" shapeId="0">
      <text>
        <t>+1 балл, 21.10.2026</t>
      </text>
    </comment>
    <comment ref="E5" authorId="0" shapeId="0">
      <text>
        <t>+1 балл, 21.10.2026</t>
      </text>
    </comment>
    <comment ref="E6" authorId="0" shapeId="0">
      <text>
        <t>исправлено, читается как 18 (возможно 13)</t>
      </text>
    </comment>
    <comment ref="C8" authorId="0" shapeId="0">
      <text>
        <t>В тетради (фото) было 13. Исправлено на 10 по словам учителя 21.10.2026: балл перепутан с другой работой.</t>
      </text>
    </comment>
    <comment ref="I8" authorId="0" shapeId="0">
      <text>
        <t>исправлено, читается как 12 (возможно 11)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C4" authorId="0" shapeId="0">
      <text>
        <t>+1 балл, 21.10.2026</t>
      </text>
    </comment>
    <comment ref="E4" authorId="0" shapeId="0">
      <text>
        <t>исправлено, читается как 14 (возможно 12)</t>
      </text>
    </comment>
    <comment ref="G4" authorId="0" shapeId="0">
      <text>
        <t>+1 балл, 21.10.2026</t>
      </text>
    </comment>
    <comment ref="G5" authorId="0" shapeId="0">
      <text>
        <t>исправлено 12 → 14</t>
      </text>
    </comment>
    <comment ref="C15" authorId="0" shapeId="0">
      <text>
        <t>+1 балл, 21.10.2026</t>
      </text>
    </comment>
    <comment ref="G15" authorId="0" shapeId="0">
      <text>
        <t>+1 балл, 21.10.2026</t>
      </text>
    </comment>
    <comment ref="C17" authorId="0" shapeId="0">
      <text>
        <t>исправлено, читается как 13 (возможно 14)</t>
      </text>
    </comment>
    <comment ref="I22" authorId="0" shapeId="0">
      <text>
        <t>исправлено, читается как 9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I4" authorId="0" shapeId="0">
      <text>
        <t>исправлено 23 → 22 → 21</t>
      </text>
    </comment>
    <comment ref="M4" authorId="0" shapeId="0">
      <text>
        <t>исправлено, читается как 17</t>
      </text>
    </comment>
    <comment ref="K5" authorId="0" shapeId="0">
      <text>
        <t>исправлено 10 → 9</t>
      </text>
    </comment>
    <comment ref="I9" authorId="0" shapeId="0">
      <text>
        <t>исправлено → 22</t>
      </text>
    </comment>
    <comment ref="M9" authorId="0" shapeId="0">
      <text>
        <t>исправлено 16 → 17</t>
      </text>
    </comment>
    <comment ref="G10" authorId="0" shapeId="0">
      <text>
        <t>исправлено → 10</t>
      </text>
    </comment>
    <comment ref="I13" authorId="0" shapeId="0">
      <text>
        <t>исправлено 10 → 12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4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56" min="1" max="1"/>
    <col width="11" customWidth="1" style="56" min="2" max="2"/>
    <col width="55" customWidth="1" style="56" min="3" max="3"/>
  </cols>
  <sheetData>
    <row r="1" ht="17.25" customHeight="1" s="57">
      <c r="A1" s="58" t="inlineStr">
        <is>
          <t>Правила расчёта четвертной оценки</t>
        </is>
      </c>
    </row>
    <row r="3" ht="15" customHeight="1" s="57">
      <c r="A3" s="59" t="inlineStr">
        <is>
          <t>Параметр</t>
        </is>
      </c>
      <c r="B3" s="59" t="inlineStr">
        <is>
          <t>Значение</t>
        </is>
      </c>
      <c r="C3" s="59" t="inlineStr">
        <is>
          <t>Пояснение</t>
        </is>
      </c>
    </row>
    <row r="4" ht="15" customHeight="1" s="57">
      <c r="A4" s="60" t="inlineStr">
        <is>
          <t>Вес текущих оценок (ФО)</t>
        </is>
      </c>
      <c r="B4" s="61" t="n">
        <v>0.25</v>
      </c>
      <c r="C4" s="60" t="inlineStr">
        <is>
          <t>Средний балл из журнала ÷ 10</t>
        </is>
      </c>
    </row>
    <row r="5" ht="15" customHeight="1" s="57">
      <c r="A5" s="60" t="inlineStr">
        <is>
          <t>Вес СОР</t>
        </is>
      </c>
      <c r="B5" s="61" t="n">
        <v>0.25</v>
      </c>
      <c r="C5" s="60" t="inlineStr">
        <is>
          <t>Сумма баллов за все СОР ÷ сумма максимальных баллов</t>
        </is>
      </c>
    </row>
    <row r="6" ht="15" customHeight="1" s="57">
      <c r="A6" s="60" t="inlineStr">
        <is>
          <t>Вес СОЧ</t>
        </is>
      </c>
      <c r="B6" s="61" t="n">
        <v>0.5</v>
      </c>
      <c r="C6" s="60" t="inlineStr">
        <is>
          <t>Балл за СОЧ ÷ максимальный балл</t>
        </is>
      </c>
    </row>
    <row r="8" ht="15" customHeight="1" s="57">
      <c r="A8" s="60" t="inlineStr">
        <is>
          <t>Порог «5», от</t>
        </is>
      </c>
      <c r="B8" s="61" t="n">
        <v>0.85</v>
      </c>
      <c r="C8" s="60" t="inlineStr">
        <is>
          <t>85–100%</t>
        </is>
      </c>
    </row>
    <row r="9" ht="15" customHeight="1" s="57">
      <c r="A9" s="60" t="inlineStr">
        <is>
          <t>Порог «4», от</t>
        </is>
      </c>
      <c r="B9" s="61" t="n">
        <v>0.65</v>
      </c>
      <c r="C9" s="60" t="inlineStr">
        <is>
          <t>65–84%</t>
        </is>
      </c>
    </row>
    <row r="10" ht="15" customHeight="1" s="57">
      <c r="A10" s="60" t="inlineStr">
        <is>
          <t>Порог «3», от</t>
        </is>
      </c>
      <c r="B10" s="61" t="n">
        <v>0.4</v>
      </c>
      <c r="C10" s="60" t="inlineStr">
        <is>
          <t>40–64%; ниже 40% — «2»</t>
        </is>
      </c>
    </row>
    <row r="12" ht="15" customHeight="1" s="57">
      <c r="A12" s="62" t="inlineStr">
        <is>
          <t>Итог % = ФО×вес + СОР×вес + СОЧ×вес. Синие значения можно менять — всё пересчитается.</t>
        </is>
      </c>
    </row>
    <row r="13" ht="15" customHeight="1" s="57">
      <c r="A13" s="62" t="inlineStr">
        <is>
          <t>Отличник — «5» по алгебре и геометрии. Хорошист — обе оценки не ниже «4». Резерв — одна «3», вторая «4» или «5».</t>
        </is>
      </c>
    </row>
    <row r="14" ht="15" customHeight="1" s="57">
      <c r="A14" s="62" t="inlineStr">
        <is>
          <t>Если нет балла за СОЧ, четвертная не считается (пометка «нет СОЧ»).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64"/>
  <sheetViews>
    <sheetView showFormulas="0" showGridLines="1" showRowColHeaders="1" showZeros="1" rightToLeft="0" tabSelected="1" showOutlineSymbols="1" defaultGridColor="1" view="normal" topLeftCell="A1" colorId="64" zoomScale="120" zoomScaleNormal="12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J10" activeCellId="0" sqref="J10"/>
    </sheetView>
  </sheetViews>
  <sheetFormatPr baseColWidth="8" defaultColWidth="8.6796875" defaultRowHeight="15" customHeight="0" zeroHeight="0" outlineLevelRow="0"/>
  <cols>
    <col width="7" customWidth="1" style="56" min="1" max="1"/>
    <col width="5" customWidth="1" style="56" min="2" max="2"/>
    <col width="28" customWidth="1" style="56" min="3" max="3"/>
    <col width="7" customWidth="1" style="56" min="4" max="7"/>
    <col width="8" customWidth="1" style="56" min="8" max="8"/>
    <col width="7" customWidth="1" style="56" min="9" max="12"/>
    <col width="8" customWidth="1" style="56" min="13" max="13"/>
    <col width="17" customWidth="1" style="56" min="14" max="14"/>
  </cols>
  <sheetData>
    <row r="1" ht="17.25" customHeight="1" s="57">
      <c r="A1" s="58" t="inlineStr">
        <is>
          <t>Четвертные оценки — алгебра и геометрия, 1 четверть 2026/2027</t>
        </is>
      </c>
    </row>
    <row r="2" ht="19.5" customHeight="1" s="57">
      <c r="A2" s="63" t="inlineStr">
        <is>
          <t>Класс</t>
        </is>
      </c>
      <c r="B2" s="63" t="inlineStr">
        <is>
          <t>№</t>
        </is>
      </c>
      <c r="C2" s="63" t="inlineStr">
        <is>
          <t>ФИО</t>
        </is>
      </c>
      <c r="D2" s="64" t="inlineStr">
        <is>
          <t>Алгебра</t>
        </is>
      </c>
      <c r="E2" s="65" t="n"/>
      <c r="F2" s="65" t="n"/>
      <c r="G2" s="65" t="n"/>
      <c r="H2" s="66" t="n"/>
      <c r="I2" s="67" t="inlineStr">
        <is>
          <t>Геометрия</t>
        </is>
      </c>
      <c r="J2" s="65" t="n"/>
      <c r="K2" s="65" t="n"/>
      <c r="L2" s="65" t="n"/>
      <c r="M2" s="66" t="n"/>
      <c r="N2" s="63" t="inlineStr">
        <is>
          <t>Статус</t>
        </is>
      </c>
    </row>
    <row r="3" ht="15" customHeight="1" s="57">
      <c r="A3" s="68" t="n"/>
      <c r="B3" s="68" t="n"/>
      <c r="C3" s="68" t="n"/>
      <c r="D3" s="64" t="inlineStr">
        <is>
          <t>ФО %</t>
        </is>
      </c>
      <c r="E3" s="64" t="inlineStr">
        <is>
          <t>СОР %</t>
        </is>
      </c>
      <c r="F3" s="64" t="inlineStr">
        <is>
          <t>СОЧ %</t>
        </is>
      </c>
      <c r="G3" s="64" t="inlineStr">
        <is>
          <t>Итог %</t>
        </is>
      </c>
      <c r="H3" s="64" t="inlineStr">
        <is>
          <t>Оценка</t>
        </is>
      </c>
      <c r="I3" s="67" t="inlineStr">
        <is>
          <t>ФО %</t>
        </is>
      </c>
      <c r="J3" s="67" t="inlineStr">
        <is>
          <t>СОР %</t>
        </is>
      </c>
      <c r="K3" s="67" t="inlineStr">
        <is>
          <t>СОЧ %</t>
        </is>
      </c>
      <c r="L3" s="67" t="inlineStr">
        <is>
          <t>Итог %</t>
        </is>
      </c>
      <c r="M3" s="67" t="inlineStr">
        <is>
          <t>Оценка</t>
        </is>
      </c>
      <c r="N3" s="68" t="n"/>
    </row>
    <row r="4" ht="15" customHeight="1" s="57">
      <c r="A4" s="69" t="inlineStr">
        <is>
          <t>8А</t>
        </is>
      </c>
      <c r="B4" s="69" t="n">
        <v>1</v>
      </c>
      <c r="C4" s="70">
        <f>'8А СОР-СОЧ'!B4</f>
        <v/>
      </c>
      <c r="D4" s="71">
        <f>IFERROR(INDEX('8А Алгебра'!$Z:$Z,MATCH($C4,'8А Алгебра'!$B:$B,0))/10,"")</f>
        <v/>
      </c>
      <c r="E4" s="71">
        <f>('8А СОР-СОЧ'!C4)/('8А СОР-СОЧ'!C$19)</f>
        <v/>
      </c>
      <c r="F4" s="71">
        <f>IF('8А СОР-СОЧ'!E4="","",'8А СОР-СОЧ'!E4/'8А СОР-СОЧ'!E$19)</f>
        <v/>
      </c>
      <c r="G4" s="71">
        <f>IF(OR(F4="",D4=""),"",D4*Правила!$B$4+E4*Правила!$B$5+F4*Правила!$B$6)</f>
        <v/>
      </c>
      <c r="H4" s="72">
        <f>IF(G4="","нет СОЧ",IF(G4&gt;=Правила!$B$8,5,IF(G4&gt;=Правила!$B$9,4,IF(G4&gt;=Правила!$B$10,3,2))))</f>
        <v/>
      </c>
      <c r="I4" s="71">
        <f>IFERROR(INDEX('8А Геометрия'!$S:$S,MATCH($C4,'8А Геометрия'!$B:$B,0))/10,"")</f>
        <v/>
      </c>
      <c r="J4" s="71">
        <f>('8А СОР-СОЧ'!G4)/('8А СОР-СОЧ'!G$19)</f>
        <v/>
      </c>
      <c r="K4" s="71">
        <f>IF('8А СОР-СОЧ'!I4="","",'8А СОР-СОЧ'!I4/'8А СОР-СОЧ'!I$19)</f>
        <v/>
      </c>
      <c r="L4" s="71">
        <f>IF(OR(K4="",I4=""),"",I4*Правила!$B$4+J4*Правила!$B$5+K4*Правила!$B$6)</f>
        <v/>
      </c>
      <c r="M4" s="72">
        <f>IF(L4="","нет СОЧ",IF(L4&gt;=Правила!$B$8,5,IF(L4&gt;=Правила!$B$9,4,IF(L4&gt;=Правила!$B$10,3,2))))</f>
        <v/>
      </c>
      <c r="N4" s="72">
        <f>IF(OR(H4="нет СОЧ",M4="нет СОЧ"),"нет СОЧ",IF(AND(H4=5,M4=5),"Отличник",IF(MIN(H4,M4)&gt;=4,"Хорошист",IF(AND(MIN(H4,M4)=3,MAX(H4,M4)&gt;=4),"Резерв (одна «3»)",""))))</f>
        <v/>
      </c>
    </row>
    <row r="5" ht="15" customHeight="1" s="57">
      <c r="A5" s="69" t="inlineStr">
        <is>
          <t>8А</t>
        </is>
      </c>
      <c r="B5" s="69" t="n">
        <v>2</v>
      </c>
      <c r="C5" s="70">
        <f>'8А СОР-СОЧ'!B5</f>
        <v/>
      </c>
      <c r="D5" s="71">
        <f>IFERROR(INDEX('8А Алгебра'!$Z:$Z,MATCH($C5,'8А Алгебра'!$B:$B,0))/10,"")</f>
        <v/>
      </c>
      <c r="E5" s="71">
        <f>('8А СОР-СОЧ'!C5)/('8А СОР-СОЧ'!C$19)</f>
        <v/>
      </c>
      <c r="F5" s="71">
        <f>IF('8А СОР-СОЧ'!E5="","",'8А СОР-СОЧ'!E5/'8А СОР-СОЧ'!E$19)</f>
        <v/>
      </c>
      <c r="G5" s="71">
        <f>IF(OR(F5="",D5=""),"",D5*Правила!$B$4+E5*Правила!$B$5+F5*Правила!$B$6)</f>
        <v/>
      </c>
      <c r="H5" s="72">
        <f>IF(G5="","нет СОЧ",IF(G5&gt;=Правила!$B$8,5,IF(G5&gt;=Правила!$B$9,4,IF(G5&gt;=Правила!$B$10,3,2))))</f>
        <v/>
      </c>
      <c r="I5" s="71">
        <f>IFERROR(INDEX('8А Геометрия'!$S:$S,MATCH($C5,'8А Геометрия'!$B:$B,0))/10,"")</f>
        <v/>
      </c>
      <c r="J5" s="71">
        <f>('8А СОР-СОЧ'!G5)/('8А СОР-СОЧ'!G$19)</f>
        <v/>
      </c>
      <c r="K5" s="71">
        <f>IF('8А СОР-СОЧ'!I5="","",'8А СОР-СОЧ'!I5/'8А СОР-СОЧ'!I$19)</f>
        <v/>
      </c>
      <c r="L5" s="71">
        <f>IF(OR(K5="",I5=""),"",I5*Правила!$B$4+J5*Правила!$B$5+K5*Правила!$B$6)</f>
        <v/>
      </c>
      <c r="M5" s="72">
        <f>IF(L5="","нет СОЧ",IF(L5&gt;=Правила!$B$8,5,IF(L5&gt;=Правила!$B$9,4,IF(L5&gt;=Правила!$B$10,3,2))))</f>
        <v/>
      </c>
      <c r="N5" s="72">
        <f>IF(OR(H5="нет СОЧ",M5="нет СОЧ"),"нет СОЧ",IF(AND(H5=5,M5=5),"Отличник",IF(MIN(H5,M5)&gt;=4,"Хорошист",IF(AND(MIN(H5,M5)=3,MAX(H5,M5)&gt;=4),"Резерв (одна «3»)",""))))</f>
        <v/>
      </c>
    </row>
    <row r="6" ht="15" customHeight="1" s="57">
      <c r="A6" s="69" t="inlineStr">
        <is>
          <t>8А</t>
        </is>
      </c>
      <c r="B6" s="69" t="n">
        <v>3</v>
      </c>
      <c r="C6" s="70">
        <f>'8А СОР-СОЧ'!B6</f>
        <v/>
      </c>
      <c r="D6" s="71">
        <f>IFERROR(INDEX('8А Алгебра'!$Z:$Z,MATCH($C6,'8А Алгебра'!$B:$B,0))/10,"")</f>
        <v/>
      </c>
      <c r="E6" s="71">
        <f>('8А СОР-СОЧ'!C6)/('8А СОР-СОЧ'!C$19)</f>
        <v/>
      </c>
      <c r="F6" s="71">
        <f>IF('8А СОР-СОЧ'!E6="","",'8А СОР-СОЧ'!E6/'8А СОР-СОЧ'!E$19)</f>
        <v/>
      </c>
      <c r="G6" s="71">
        <f>IF(OR(F6="",D6=""),"",D6*Правила!$B$4+E6*Правила!$B$5+F6*Правила!$B$6)</f>
        <v/>
      </c>
      <c r="H6" s="72">
        <f>IF(G6="","нет СОЧ",IF(G6&gt;=Правила!$B$8,5,IF(G6&gt;=Правила!$B$9,4,IF(G6&gt;=Правила!$B$10,3,2))))</f>
        <v/>
      </c>
      <c r="I6" s="71">
        <f>IFERROR(INDEX('8А Геометрия'!$S:$S,MATCH($C6,'8А Геометрия'!$B:$B,0))/10,"")</f>
        <v/>
      </c>
      <c r="J6" s="71">
        <f>('8А СОР-СОЧ'!G6)/('8А СОР-СОЧ'!G$19)</f>
        <v/>
      </c>
      <c r="K6" s="71">
        <f>IF('8А СОР-СОЧ'!I6="","",'8А СОР-СОЧ'!I6/'8А СОР-СОЧ'!I$19)</f>
        <v/>
      </c>
      <c r="L6" s="71">
        <f>IF(OR(K6="",I6=""),"",I6*Правила!$B$4+J6*Правила!$B$5+K6*Правила!$B$6)</f>
        <v/>
      </c>
      <c r="M6" s="72">
        <f>IF(L6="","нет СОЧ",IF(L6&gt;=Правила!$B$8,5,IF(L6&gt;=Правила!$B$9,4,IF(L6&gt;=Правила!$B$10,3,2))))</f>
        <v/>
      </c>
      <c r="N6" s="72">
        <f>IF(OR(H6="нет СОЧ",M6="нет СОЧ"),"нет СОЧ",IF(AND(H6=5,M6=5),"Отличник",IF(MIN(H6,M6)&gt;=4,"Хорошист",IF(AND(MIN(H6,M6)=3,MAX(H6,M6)&gt;=4),"Резерв (одна «3»)",""))))</f>
        <v/>
      </c>
    </row>
    <row r="7" ht="15" customHeight="1" s="57">
      <c r="A7" s="69" t="inlineStr">
        <is>
          <t>8А</t>
        </is>
      </c>
      <c r="B7" s="69" t="n">
        <v>4</v>
      </c>
      <c r="C7" s="70">
        <f>'8А СОР-СОЧ'!B7</f>
        <v/>
      </c>
      <c r="D7" s="71">
        <f>IFERROR(INDEX('8А Алгебра'!$Z:$Z,MATCH($C7,'8А Алгебра'!$B:$B,0))/10,"")</f>
        <v/>
      </c>
      <c r="E7" s="71">
        <f>('8А СОР-СОЧ'!C7)/('8А СОР-СОЧ'!C$19)</f>
        <v/>
      </c>
      <c r="F7" s="71">
        <f>IF('8А СОР-СОЧ'!E7="","",'8А СОР-СОЧ'!E7/'8А СОР-СОЧ'!E$19)</f>
        <v/>
      </c>
      <c r="G7" s="71">
        <f>IF(OR(F7="",D7=""),"",D7*Правила!$B$4+E7*Правила!$B$5+F7*Правила!$B$6)</f>
        <v/>
      </c>
      <c r="H7" s="72">
        <f>IF(G7="","нет СОЧ",IF(G7&gt;=Правила!$B$8,5,IF(G7&gt;=Правила!$B$9,4,IF(G7&gt;=Правила!$B$10,3,2))))</f>
        <v/>
      </c>
      <c r="I7" s="71">
        <f>IFERROR(INDEX('8А Геометрия'!$S:$S,MATCH($C7,'8А Геометрия'!$B:$B,0))/10,"")</f>
        <v/>
      </c>
      <c r="J7" s="71">
        <f>('8А СОР-СОЧ'!G7)/('8А СОР-СОЧ'!G$19)</f>
        <v/>
      </c>
      <c r="K7" s="71">
        <f>IF('8А СОР-СОЧ'!I7="","",'8А СОР-СОЧ'!I7/'8А СОР-СОЧ'!I$19)</f>
        <v/>
      </c>
      <c r="L7" s="71">
        <f>IF(OR(K7="",I7=""),"",I7*Правила!$B$4+J7*Правила!$B$5+K7*Правила!$B$6)</f>
        <v/>
      </c>
      <c r="M7" s="72">
        <f>IF(L7="","нет СОЧ",IF(L7&gt;=Правила!$B$8,5,IF(L7&gt;=Правила!$B$9,4,IF(L7&gt;=Правила!$B$10,3,2))))</f>
        <v/>
      </c>
      <c r="N7" s="72">
        <f>IF(OR(H7="нет СОЧ",M7="нет СОЧ"),"нет СОЧ",IF(AND(H7=5,M7=5),"Отличник",IF(MIN(H7,M7)&gt;=4,"Хорошист",IF(AND(MIN(H7,M7)=3,MAX(H7,M7)&gt;=4),"Резерв (одна «3»)",""))))</f>
        <v/>
      </c>
    </row>
    <row r="8" ht="15" customHeight="1" s="57">
      <c r="A8" s="69" t="inlineStr">
        <is>
          <t>8А</t>
        </is>
      </c>
      <c r="B8" s="69" t="n">
        <v>5</v>
      </c>
      <c r="C8" s="70">
        <f>'8А СОР-СОЧ'!B8</f>
        <v/>
      </c>
      <c r="D8" s="71">
        <f>IFERROR(INDEX('8А Алгебра'!$Z:$Z,MATCH($C8,'8А Алгебра'!$B:$B,0))/10,"")</f>
        <v/>
      </c>
      <c r="E8" s="71">
        <f>('8А СОР-СОЧ'!C8)/('8А СОР-СОЧ'!C$19)</f>
        <v/>
      </c>
      <c r="F8" s="71">
        <f>IF('8А СОР-СОЧ'!E8="","",'8А СОР-СОЧ'!E8/'8А СОР-СОЧ'!E$19)</f>
        <v/>
      </c>
      <c r="G8" s="71">
        <f>IF(OR(F8="",D8=""),"",D8*Правила!$B$4+E8*Правила!$B$5+F8*Правила!$B$6)</f>
        <v/>
      </c>
      <c r="H8" s="72">
        <f>IF(G8="","нет СОЧ",IF(G8&gt;=Правила!$B$8,5,IF(G8&gt;=Правила!$B$9,4,IF(G8&gt;=Правила!$B$10,3,2))))</f>
        <v/>
      </c>
      <c r="I8" s="71">
        <f>IFERROR(INDEX('8А Геометрия'!$S:$S,MATCH($C8,'8А Геометрия'!$B:$B,0))/10,"")</f>
        <v/>
      </c>
      <c r="J8" s="71">
        <f>('8А СОР-СОЧ'!G8)/('8А СОР-СОЧ'!G$19)</f>
        <v/>
      </c>
      <c r="K8" s="71">
        <f>IF('8А СОР-СОЧ'!I8="","",'8А СОР-СОЧ'!I8/'8А СОР-СОЧ'!I$19)</f>
        <v/>
      </c>
      <c r="L8" s="71">
        <f>IF(OR(K8="",I8=""),"",I8*Правила!$B$4+J8*Правила!$B$5+K8*Правила!$B$6)</f>
        <v/>
      </c>
      <c r="M8" s="72">
        <f>IF(L8="","нет СОЧ",IF(L8&gt;=Правила!$B$8,5,IF(L8&gt;=Правила!$B$9,4,IF(L8&gt;=Правила!$B$10,3,2))))</f>
        <v/>
      </c>
      <c r="N8" s="72">
        <f>IF(OR(H8="нет СОЧ",M8="нет СОЧ"),"нет СОЧ",IF(AND(H8=5,M8=5),"Отличник",IF(MIN(H8,M8)&gt;=4,"Хорошист",IF(AND(MIN(H8,M8)=3,MAX(H8,M8)&gt;=4),"Резерв (одна «3»)",""))))</f>
        <v/>
      </c>
    </row>
    <row r="9" ht="15" customHeight="1" s="57">
      <c r="A9" s="69" t="inlineStr">
        <is>
          <t>8А</t>
        </is>
      </c>
      <c r="B9" s="69" t="n">
        <v>6</v>
      </c>
      <c r="C9" s="70">
        <f>'8А СОР-СОЧ'!B9</f>
        <v/>
      </c>
      <c r="D9" s="71">
        <f>IFERROR(INDEX('8А Алгебра'!$Z:$Z,MATCH($C9,'8А Алгебра'!$B:$B,0))/10,"")</f>
        <v/>
      </c>
      <c r="E9" s="71">
        <f>('8А СОР-СОЧ'!C9)/('8А СОР-СОЧ'!C$19)</f>
        <v/>
      </c>
      <c r="F9" s="71">
        <f>IF('8А СОР-СОЧ'!E9="","",'8А СОР-СОЧ'!E9/'8А СОР-СОЧ'!E$19)</f>
        <v/>
      </c>
      <c r="G9" s="71">
        <f>IF(OR(F9="",D9=""),"",D9*Правила!$B$4+E9*Правила!$B$5+F9*Правила!$B$6)</f>
        <v/>
      </c>
      <c r="H9" s="72">
        <f>IF(G9="","нет СОЧ",IF(G9&gt;=Правила!$B$8,5,IF(G9&gt;=Правила!$B$9,4,IF(G9&gt;=Правила!$B$10,3,2))))</f>
        <v/>
      </c>
      <c r="I9" s="71">
        <f>IFERROR(INDEX('8А Геометрия'!$S:$S,MATCH($C9,'8А Геометрия'!$B:$B,0))/10,"")</f>
        <v/>
      </c>
      <c r="J9" s="71">
        <f>('8А СОР-СОЧ'!G9)/('8А СОР-СОЧ'!G$19)</f>
        <v/>
      </c>
      <c r="K9" s="71">
        <f>IF('8А СОР-СОЧ'!I9="","",'8А СОР-СОЧ'!I9/'8А СОР-СОЧ'!I$19)</f>
        <v/>
      </c>
      <c r="L9" s="71">
        <f>IF(OR(K9="",I9=""),"",I9*Правила!$B$4+J9*Правила!$B$5+K9*Правила!$B$6)</f>
        <v/>
      </c>
      <c r="M9" s="72">
        <f>IF(L9="","нет СОЧ",IF(L9&gt;=Правила!$B$8,5,IF(L9&gt;=Правила!$B$9,4,IF(L9&gt;=Правила!$B$10,3,2))))</f>
        <v/>
      </c>
      <c r="N9" s="72">
        <f>IF(OR(H9="нет СОЧ",M9="нет СОЧ"),"нет СОЧ",IF(AND(H9=5,M9=5),"Отличник",IF(MIN(H9,M9)&gt;=4,"Хорошист",IF(AND(MIN(H9,M9)=3,MAX(H9,M9)&gt;=4),"Резерв (одна «3»)",""))))</f>
        <v/>
      </c>
    </row>
    <row r="10" ht="15" customHeight="1" s="57">
      <c r="A10" s="69" t="inlineStr">
        <is>
          <t>8А</t>
        </is>
      </c>
      <c r="B10" s="69" t="n">
        <v>7</v>
      </c>
      <c r="C10" s="70">
        <f>'8А СОР-СОЧ'!B10</f>
        <v/>
      </c>
      <c r="D10" s="71">
        <f>IFERROR(INDEX('8А Алгебра'!$Z:$Z,MATCH($C10,'8А Алгебра'!$B:$B,0))/10,"")</f>
        <v/>
      </c>
      <c r="E10" s="71">
        <f>('8А СОР-СОЧ'!C10)/('8А СОР-СОЧ'!C$19)</f>
        <v/>
      </c>
      <c r="F10" s="71">
        <f>IF('8А СОР-СОЧ'!E10="","",'8А СОР-СОЧ'!E10/'8А СОР-СОЧ'!E$19)</f>
        <v/>
      </c>
      <c r="G10" s="71">
        <f>IF(OR(F10="",D10=""),"",D10*Правила!$B$4+E10*Правила!$B$5+F10*Правила!$B$6)</f>
        <v/>
      </c>
      <c r="H10" s="72">
        <f>IF(G10="","нет СОЧ",IF(G10&gt;=Правила!$B$8,5,IF(G10&gt;=Правила!$B$9,4,IF(G10&gt;=Правила!$B$10,3,2))))</f>
        <v/>
      </c>
      <c r="I10" s="71">
        <f>IFERROR(INDEX('8А Геометрия'!$S:$S,MATCH($C10,'8А Геометрия'!$B:$B,0))/10,"")</f>
        <v/>
      </c>
      <c r="J10" s="71">
        <f>('8А СОР-СОЧ'!G10)/('8А СОР-СОЧ'!G$19)</f>
        <v/>
      </c>
      <c r="K10" s="71">
        <f>IF('8А СОР-СОЧ'!I10="","",'8А СОР-СОЧ'!I10/'8А СОР-СОЧ'!I$19)</f>
        <v/>
      </c>
      <c r="L10" s="71">
        <f>IF(OR(K10="",I10=""),"",I10*Правила!$B$4+J10*Правила!$B$5+K10*Правила!$B$6)</f>
        <v/>
      </c>
      <c r="M10" s="72">
        <f>IF(L10="","нет СОЧ",IF(L10&gt;=Правила!$B$8,5,IF(L10&gt;=Правила!$B$9,4,IF(L10&gt;=Правила!$B$10,3,2))))</f>
        <v/>
      </c>
      <c r="N10" s="72">
        <f>IF(OR(H10="нет СОЧ",M10="нет СОЧ"),"нет СОЧ",IF(AND(H10=5,M10=5),"Отличник",IF(MIN(H10,M10)&gt;=4,"Хорошист",IF(AND(MIN(H10,M10)=3,MAX(H10,M10)&gt;=4),"Резерв (одна «3»)",""))))</f>
        <v/>
      </c>
    </row>
    <row r="11" ht="15" customHeight="1" s="57">
      <c r="A11" s="69" t="inlineStr">
        <is>
          <t>8А</t>
        </is>
      </c>
      <c r="B11" s="69" t="n">
        <v>8</v>
      </c>
      <c r="C11" s="70">
        <f>'8А СОР-СОЧ'!B11</f>
        <v/>
      </c>
      <c r="D11" s="71">
        <f>IFERROR(INDEX('8А Алгебра'!$Z:$Z,MATCH($C11,'8А Алгебра'!$B:$B,0))/10,"")</f>
        <v/>
      </c>
      <c r="E11" s="71">
        <f>('8А СОР-СОЧ'!C11)/('8А СОР-СОЧ'!C$19)</f>
        <v/>
      </c>
      <c r="F11" s="71">
        <f>IF('8А СОР-СОЧ'!E11="","",'8А СОР-СОЧ'!E11/'8А СОР-СОЧ'!E$19)</f>
        <v/>
      </c>
      <c r="G11" s="71">
        <f>IF(OR(F11="",D11=""),"",D11*Правила!$B$4+E11*Правила!$B$5+F11*Правила!$B$6)</f>
        <v/>
      </c>
      <c r="H11" s="72">
        <f>IF(G11="","нет СОЧ",IF(G11&gt;=Правила!$B$8,5,IF(G11&gt;=Правила!$B$9,4,IF(G11&gt;=Правила!$B$10,3,2))))</f>
        <v/>
      </c>
      <c r="I11" s="71">
        <f>IFERROR(INDEX('8А Геометрия'!$S:$S,MATCH($C11,'8А Геометрия'!$B:$B,0))/10,"")</f>
        <v/>
      </c>
      <c r="J11" s="71">
        <f>('8А СОР-СОЧ'!G11)/('8А СОР-СОЧ'!G$19)</f>
        <v/>
      </c>
      <c r="K11" s="71">
        <f>IF('8А СОР-СОЧ'!I11="","",'8А СОР-СОЧ'!I11/'8А СОР-СОЧ'!I$19)</f>
        <v/>
      </c>
      <c r="L11" s="71">
        <f>IF(OR(K11="",I11=""),"",I11*Правила!$B$4+J11*Правила!$B$5+K11*Правила!$B$6)</f>
        <v/>
      </c>
      <c r="M11" s="72">
        <f>IF(L11="","нет СОЧ",IF(L11&gt;=Правила!$B$8,5,IF(L11&gt;=Правила!$B$9,4,IF(L11&gt;=Правила!$B$10,3,2))))</f>
        <v/>
      </c>
      <c r="N11" s="72">
        <f>IF(OR(H11="нет СОЧ",M11="нет СОЧ"),"нет СОЧ",IF(AND(H11=5,M11=5),"Отличник",IF(MIN(H11,M11)&gt;=4,"Хорошист",IF(AND(MIN(H11,M11)=3,MAX(H11,M11)&gt;=4),"Резерв (одна «3»)",""))))</f>
        <v/>
      </c>
    </row>
    <row r="12" ht="15" customHeight="1" s="57">
      <c r="A12" s="69" t="inlineStr">
        <is>
          <t>8А</t>
        </is>
      </c>
      <c r="B12" s="69" t="n">
        <v>9</v>
      </c>
      <c r="C12" s="70">
        <f>'8А СОР-СОЧ'!B12</f>
        <v/>
      </c>
      <c r="D12" s="71">
        <f>IFERROR(INDEX('8А Алгебра'!$Z:$Z,MATCH($C12,'8А Алгебра'!$B:$B,0))/10,"")</f>
        <v/>
      </c>
      <c r="E12" s="71">
        <f>('8А СОР-СОЧ'!C12)/('8А СОР-СОЧ'!C$19)</f>
        <v/>
      </c>
      <c r="F12" s="71">
        <f>IF('8А СОР-СОЧ'!E12="","",'8А СОР-СОЧ'!E12/'8А СОР-СОЧ'!E$19)</f>
        <v/>
      </c>
      <c r="G12" s="71">
        <f>IF(OR(F12="",D12=""),"",D12*Правила!$B$4+E12*Правила!$B$5+F12*Правила!$B$6)</f>
        <v/>
      </c>
      <c r="H12" s="72">
        <f>IF(G12="","нет СОЧ",IF(G12&gt;=Правила!$B$8,5,IF(G12&gt;=Правила!$B$9,4,IF(G12&gt;=Правила!$B$10,3,2))))</f>
        <v/>
      </c>
      <c r="I12" s="71">
        <f>IFERROR(INDEX('8А Геометрия'!$S:$S,MATCH($C12,'8А Геометрия'!$B:$B,0))/10,"")</f>
        <v/>
      </c>
      <c r="J12" s="71">
        <f>('8А СОР-СОЧ'!G12)/('8А СОР-СОЧ'!G$19)</f>
        <v/>
      </c>
      <c r="K12" s="71">
        <f>IF('8А СОР-СОЧ'!I12="","",'8А СОР-СОЧ'!I12/'8А СОР-СОЧ'!I$19)</f>
        <v/>
      </c>
      <c r="L12" s="71">
        <f>IF(OR(K12="",I12=""),"",I12*Правила!$B$4+J12*Правила!$B$5+K12*Правила!$B$6)</f>
        <v/>
      </c>
      <c r="M12" s="72">
        <f>IF(L12="","нет СОЧ",IF(L12&gt;=Правила!$B$8,5,IF(L12&gt;=Правила!$B$9,4,IF(L12&gt;=Правила!$B$10,3,2))))</f>
        <v/>
      </c>
      <c r="N12" s="72">
        <f>IF(OR(H12="нет СОЧ",M12="нет СОЧ"),"нет СОЧ",IF(AND(H12=5,M12=5),"Отличник",IF(MIN(H12,M12)&gt;=4,"Хорошист",IF(AND(MIN(H12,M12)=3,MAX(H12,M12)&gt;=4),"Резерв (одна «3»)",""))))</f>
        <v/>
      </c>
    </row>
    <row r="13" ht="15" customHeight="1" s="57">
      <c r="A13" s="69" t="inlineStr">
        <is>
          <t>8А</t>
        </is>
      </c>
      <c r="B13" s="69" t="n">
        <v>10</v>
      </c>
      <c r="C13" s="70">
        <f>'8А СОР-СОЧ'!B13</f>
        <v/>
      </c>
      <c r="D13" s="71">
        <f>IFERROR(INDEX('8А Алгебра'!$Z:$Z,MATCH($C13,'8А Алгебра'!$B:$B,0))/10,"")</f>
        <v/>
      </c>
      <c r="E13" s="71">
        <f>('8А СОР-СОЧ'!C13)/('8А СОР-СОЧ'!C$19)</f>
        <v/>
      </c>
      <c r="F13" s="71">
        <f>IF('8А СОР-СОЧ'!E13="","",'8А СОР-СОЧ'!E13/'8А СОР-СОЧ'!E$19)</f>
        <v/>
      </c>
      <c r="G13" s="71">
        <f>IF(OR(F13="",D13=""),"",D13*Правила!$B$4+E13*Правила!$B$5+F13*Правила!$B$6)</f>
        <v/>
      </c>
      <c r="H13" s="72">
        <f>IF(G13="","нет СОЧ",IF(G13&gt;=Правила!$B$8,5,IF(G13&gt;=Правила!$B$9,4,IF(G13&gt;=Правила!$B$10,3,2))))</f>
        <v/>
      </c>
      <c r="I13" s="71">
        <f>IFERROR(INDEX('8А Геометрия'!$S:$S,MATCH($C13,'8А Геометрия'!$B:$B,0))/10,"")</f>
        <v/>
      </c>
      <c r="J13" s="71">
        <f>('8А СОР-СОЧ'!G13)/('8А СОР-СОЧ'!G$19)</f>
        <v/>
      </c>
      <c r="K13" s="71">
        <f>IF('8А СОР-СОЧ'!I13="","",'8А СОР-СОЧ'!I13/'8А СОР-СОЧ'!I$19)</f>
        <v/>
      </c>
      <c r="L13" s="71">
        <f>IF(OR(K13="",I13=""),"",I13*Правила!$B$4+J13*Правила!$B$5+K13*Правила!$B$6)</f>
        <v/>
      </c>
      <c r="M13" s="72">
        <f>IF(L13="","нет СОЧ",IF(L13&gt;=Правила!$B$8,5,IF(L13&gt;=Правила!$B$9,4,IF(L13&gt;=Правила!$B$10,3,2))))</f>
        <v/>
      </c>
      <c r="N13" s="72">
        <f>IF(OR(H13="нет СОЧ",M13="нет СОЧ"),"нет СОЧ",IF(AND(H13=5,M13=5),"Отличник",IF(MIN(H13,M13)&gt;=4,"Хорошист",IF(AND(MIN(H13,M13)=3,MAX(H13,M13)&gt;=4),"Резерв (одна «3»)",""))))</f>
        <v/>
      </c>
    </row>
    <row r="14" ht="15" customHeight="1" s="57">
      <c r="A14" s="69" t="inlineStr">
        <is>
          <t>8А</t>
        </is>
      </c>
      <c r="B14" s="69" t="n">
        <v>11</v>
      </c>
      <c r="C14" s="70">
        <f>'8А СОР-СОЧ'!B14</f>
        <v/>
      </c>
      <c r="D14" s="71">
        <f>IFERROR(INDEX('8А Алгебра'!$Z:$Z,MATCH($C14,'8А Алгебра'!$B:$B,0))/10,"")</f>
        <v/>
      </c>
      <c r="E14" s="71">
        <f>('8А СОР-СОЧ'!C14)/('8А СОР-СОЧ'!C$19)</f>
        <v/>
      </c>
      <c r="F14" s="71">
        <f>IF('8А СОР-СОЧ'!E14="","",'8А СОР-СОЧ'!E14/'8А СОР-СОЧ'!E$19)</f>
        <v/>
      </c>
      <c r="G14" s="71">
        <f>IF(OR(F14="",D14=""),"",D14*Правила!$B$4+E14*Правила!$B$5+F14*Правила!$B$6)</f>
        <v/>
      </c>
      <c r="H14" s="72">
        <f>IF(G14="","нет СОЧ",IF(G14&gt;=Правила!$B$8,5,IF(G14&gt;=Правила!$B$9,4,IF(G14&gt;=Правила!$B$10,3,2))))</f>
        <v/>
      </c>
      <c r="I14" s="71">
        <f>IFERROR(INDEX('8А Геометрия'!$S:$S,MATCH($C14,'8А Геометрия'!$B:$B,0))/10,"")</f>
        <v/>
      </c>
      <c r="J14" s="71">
        <f>('8А СОР-СОЧ'!G14)/('8А СОР-СОЧ'!G$19)</f>
        <v/>
      </c>
      <c r="K14" s="71">
        <f>IF('8А СОР-СОЧ'!I14="","",'8А СОР-СОЧ'!I14/'8А СОР-СОЧ'!I$19)</f>
        <v/>
      </c>
      <c r="L14" s="71">
        <f>IF(OR(K14="",I14=""),"",I14*Правила!$B$4+J14*Правила!$B$5+K14*Правила!$B$6)</f>
        <v/>
      </c>
      <c r="M14" s="72">
        <f>IF(L14="","нет СОЧ",IF(L14&gt;=Правила!$B$8,5,IF(L14&gt;=Правила!$B$9,4,IF(L14&gt;=Правила!$B$10,3,2))))</f>
        <v/>
      </c>
      <c r="N14" s="72">
        <f>IF(OR(H14="нет СОЧ",M14="нет СОЧ"),"нет СОЧ",IF(AND(H14=5,M14=5),"Отличник",IF(MIN(H14,M14)&gt;=4,"Хорошист",IF(AND(MIN(H14,M14)=3,MAX(H14,M14)&gt;=4),"Резерв (одна «3»)",""))))</f>
        <v/>
      </c>
    </row>
    <row r="15" ht="15" customHeight="1" s="57">
      <c r="A15" s="69" t="inlineStr">
        <is>
          <t>8А</t>
        </is>
      </c>
      <c r="B15" s="69" t="n">
        <v>12</v>
      </c>
      <c r="C15" s="70">
        <f>'8А СОР-СОЧ'!B15</f>
        <v/>
      </c>
      <c r="D15" s="71">
        <f>IFERROR(INDEX('8А Алгебра'!$Z:$Z,MATCH($C15,'8А Алгебра'!$B:$B,0))/10,"")</f>
        <v/>
      </c>
      <c r="E15" s="71">
        <f>('8А СОР-СОЧ'!C15)/('8А СОР-СОЧ'!C$19)</f>
        <v/>
      </c>
      <c r="F15" s="71">
        <f>IF('8А СОР-СОЧ'!E15="","",'8А СОР-СОЧ'!E15/'8А СОР-СОЧ'!E$19)</f>
        <v/>
      </c>
      <c r="G15" s="71">
        <f>IF(OR(F15="",D15=""),"",D15*Правила!$B$4+E15*Правила!$B$5+F15*Правила!$B$6)</f>
        <v/>
      </c>
      <c r="H15" s="72">
        <f>IF(G15="","нет СОЧ",IF(G15&gt;=Правила!$B$8,5,IF(G15&gt;=Правила!$B$9,4,IF(G15&gt;=Правила!$B$10,3,2))))</f>
        <v/>
      </c>
      <c r="I15" s="71">
        <f>IFERROR(INDEX('8А Геометрия'!$S:$S,MATCH($C15,'8А Геометрия'!$B:$B,0))/10,"")</f>
        <v/>
      </c>
      <c r="J15" s="71">
        <f>('8А СОР-СОЧ'!G15)/('8А СОР-СОЧ'!G$19)</f>
        <v/>
      </c>
      <c r="K15" s="71">
        <f>IF('8А СОР-СОЧ'!I15="","",'8А СОР-СОЧ'!I15/'8А СОР-СОЧ'!I$19)</f>
        <v/>
      </c>
      <c r="L15" s="71">
        <f>IF(OR(K15="",I15=""),"",I15*Правила!$B$4+J15*Правила!$B$5+K15*Правила!$B$6)</f>
        <v/>
      </c>
      <c r="M15" s="72">
        <f>IF(L15="","нет СОЧ",IF(L15&gt;=Правила!$B$8,5,IF(L15&gt;=Правила!$B$9,4,IF(L15&gt;=Правила!$B$10,3,2))))</f>
        <v/>
      </c>
      <c r="N15" s="72">
        <f>IF(OR(H15="нет СОЧ",M15="нет СОЧ"),"нет СОЧ",IF(AND(H15=5,M15=5),"Отличник",IF(MIN(H15,M15)&gt;=4,"Хорошист",IF(AND(MIN(H15,M15)=3,MAX(H15,M15)&gt;=4),"Резерв (одна «3»)",""))))</f>
        <v/>
      </c>
    </row>
    <row r="16" ht="15" customHeight="1" s="57">
      <c r="A16" s="69" t="inlineStr">
        <is>
          <t>8А</t>
        </is>
      </c>
      <c r="B16" s="69" t="n">
        <v>13</v>
      </c>
      <c r="C16" s="70">
        <f>'8А СОР-СОЧ'!B16</f>
        <v/>
      </c>
      <c r="D16" s="71">
        <f>IFERROR(INDEX('8А Алгебра'!$Z:$Z,MATCH($C16,'8А Алгебра'!$B:$B,0))/10,"")</f>
        <v/>
      </c>
      <c r="E16" s="71">
        <f>('8А СОР-СОЧ'!C16)/('8А СОР-СОЧ'!C$19)</f>
        <v/>
      </c>
      <c r="F16" s="71">
        <f>IF('8А СОР-СОЧ'!E16="","",'8А СОР-СОЧ'!E16/'8А СОР-СОЧ'!E$19)</f>
        <v/>
      </c>
      <c r="G16" s="71">
        <f>IF(OR(F16="",D16=""),"",D16*Правила!$B$4+E16*Правила!$B$5+F16*Правила!$B$6)</f>
        <v/>
      </c>
      <c r="H16" s="72">
        <f>IF(G16="","нет СОЧ",IF(G16&gt;=Правила!$B$8,5,IF(G16&gt;=Правила!$B$9,4,IF(G16&gt;=Правила!$B$10,3,2))))</f>
        <v/>
      </c>
      <c r="I16" s="71">
        <f>IFERROR(INDEX('8А Геометрия'!$S:$S,MATCH($C16,'8А Геометрия'!$B:$B,0))/10,"")</f>
        <v/>
      </c>
      <c r="J16" s="71">
        <f>('8А СОР-СОЧ'!G16)/('8А СОР-СОЧ'!G$19)</f>
        <v/>
      </c>
      <c r="K16" s="71">
        <f>IF('8А СОР-СОЧ'!I16="","",'8А СОР-СОЧ'!I16/'8А СОР-СОЧ'!I$19)</f>
        <v/>
      </c>
      <c r="L16" s="71">
        <f>IF(OR(K16="",I16=""),"",I16*Правила!$B$4+J16*Правила!$B$5+K16*Правила!$B$6)</f>
        <v/>
      </c>
      <c r="M16" s="72">
        <f>IF(L16="","нет СОЧ",IF(L16&gt;=Правила!$B$8,5,IF(L16&gt;=Правила!$B$9,4,IF(L16&gt;=Правила!$B$10,3,2))))</f>
        <v/>
      </c>
      <c r="N16" s="72">
        <f>IF(OR(H16="нет СОЧ",M16="нет СОЧ"),"нет СОЧ",IF(AND(H16=5,M16=5),"Отличник",IF(MIN(H16,M16)&gt;=4,"Хорошист",IF(AND(MIN(H16,M16)=3,MAX(H16,M16)&gt;=4),"Резерв (одна «3»)",""))))</f>
        <v/>
      </c>
    </row>
    <row r="17" ht="15" customHeight="1" s="57">
      <c r="A17" s="73" t="inlineStr">
        <is>
          <t>8А</t>
        </is>
      </c>
      <c r="B17" s="73" t="n">
        <v>14</v>
      </c>
      <c r="C17" s="74">
        <f>'8А СОР-СОЧ'!B17</f>
        <v/>
      </c>
      <c r="D17" s="75">
        <f>IFERROR(INDEX('8А Алгебра'!$Z:$Z,MATCH($C17,'8А Алгебра'!$B:$B,0))/10,"")</f>
        <v/>
      </c>
      <c r="E17" s="75">
        <f>('8А СОР-СОЧ'!C17)/('8А СОР-СОЧ'!C$19)</f>
        <v/>
      </c>
      <c r="F17" s="75">
        <f>IF('8А СОР-СОЧ'!E17="","",'8А СОР-СОЧ'!E17/'8А СОР-СОЧ'!E$19)</f>
        <v/>
      </c>
      <c r="G17" s="75">
        <f>IF(OR(F17="",D17=""),"",D17*Правила!$B$4+E17*Правила!$B$5+F17*Правила!$B$6)</f>
        <v/>
      </c>
      <c r="H17" s="76">
        <f>IF(G17="","нет СОЧ",IF(G17&gt;=Правила!$B$8,5,IF(G17&gt;=Правила!$B$9,4,IF(G17&gt;=Правила!$B$10,3,2))))</f>
        <v/>
      </c>
      <c r="I17" s="75">
        <f>IFERROR(INDEX('8А Геометрия'!$S:$S,MATCH($C17,'8А Геометрия'!$B:$B,0))/10,"")</f>
        <v/>
      </c>
      <c r="J17" s="75">
        <f>('8А СОР-СОЧ'!G17)/('8А СОР-СОЧ'!G$19)</f>
        <v/>
      </c>
      <c r="K17" s="75">
        <f>IF('8А СОР-СОЧ'!I17="","",'8А СОР-СОЧ'!I17/'8А СОР-СОЧ'!I$19)</f>
        <v/>
      </c>
      <c r="L17" s="75">
        <f>IF(OR(K17="",I17=""),"",I17*Правила!$B$4+J17*Правила!$B$5+K17*Правила!$B$6)</f>
        <v/>
      </c>
      <c r="M17" s="76">
        <f>IF(L17="","нет СОЧ",IF(L17&gt;=Правила!$B$8,5,IF(L17&gt;=Правила!$B$9,4,IF(L17&gt;=Правила!$B$10,3,2))))</f>
        <v/>
      </c>
      <c r="N17" s="76">
        <f>IF(OR(H17="нет СОЧ",M17="нет СОЧ"),"нет СОЧ",IF(AND(H17=5,M17=5),"Отличник",IF(MIN(H17,M17)&gt;=4,"Хорошист",IF(AND(MIN(H17,M17)=3,MAX(H17,M17)&gt;=4),"Резерв (одна «3»)",""))))</f>
        <v/>
      </c>
    </row>
    <row r="18" ht="15" customHeight="1" s="57">
      <c r="A18" s="69" t="inlineStr">
        <is>
          <t>8Б</t>
        </is>
      </c>
      <c r="B18" s="69" t="n">
        <v>1</v>
      </c>
      <c r="C18" s="70">
        <f>'8Б СОР-СОЧ'!B4</f>
        <v/>
      </c>
      <c r="D18" s="71">
        <f>IFERROR(INDEX('8Б Алгебра'!$Z:$Z,MATCH($C18,'8Б Алгебра'!$B:$B,0))/10,"")</f>
        <v/>
      </c>
      <c r="E18" s="71">
        <f>('8Б СОР-СОЧ'!C4)/('8Б СОР-СОЧ'!C$18)</f>
        <v/>
      </c>
      <c r="F18" s="71">
        <f>IF('8Б СОР-СОЧ'!E4="","",'8Б СОР-СОЧ'!E4/'8Б СОР-СОЧ'!E$18)</f>
        <v/>
      </c>
      <c r="G18" s="71">
        <f>IF(OR(F18="",D18=""),"",D18*Правила!$B$4+E18*Правила!$B$5+F18*Правила!$B$6)</f>
        <v/>
      </c>
      <c r="H18" s="72">
        <f>IF(G18="","нет СОЧ",IF(G18&gt;=Правила!$B$8,5,IF(G18&gt;=Правила!$B$9,4,IF(G18&gt;=Правила!$B$10,3,2))))</f>
        <v/>
      </c>
      <c r="I18" s="71">
        <f>IFERROR(INDEX('8Б Геометрия'!$S:$S,MATCH($C18,'8Б Геометрия'!$B:$B,0))/10,"")</f>
        <v/>
      </c>
      <c r="J18" s="71">
        <f>('8Б СОР-СОЧ'!G4)/('8Б СОР-СОЧ'!G$18)</f>
        <v/>
      </c>
      <c r="K18" s="71">
        <f>IF('8Б СОР-СОЧ'!I4="","",'8Б СОР-СОЧ'!I4/'8Б СОР-СОЧ'!I$18)</f>
        <v/>
      </c>
      <c r="L18" s="71">
        <f>IF(OR(K18="",I18=""),"",I18*Правила!$B$4+J18*Правила!$B$5+K18*Правила!$B$6)</f>
        <v/>
      </c>
      <c r="M18" s="72">
        <f>IF(L18="","нет СОЧ",IF(L18&gt;=Правила!$B$8,5,IF(L18&gt;=Правила!$B$9,4,IF(L18&gt;=Правила!$B$10,3,2))))</f>
        <v/>
      </c>
      <c r="N18" s="72">
        <f>IF(OR(H18="нет СОЧ",M18="нет СОЧ"),"нет СОЧ",IF(AND(H18=5,M18=5),"Отличник",IF(MIN(H18,M18)&gt;=4,"Хорошист",IF(AND(MIN(H18,M18)=3,MAX(H18,M18)&gt;=4),"Резерв (одна «3»)",""))))</f>
        <v/>
      </c>
    </row>
    <row r="19" ht="15" customHeight="1" s="57">
      <c r="A19" s="69" t="inlineStr">
        <is>
          <t>8Б</t>
        </is>
      </c>
      <c r="B19" s="69" t="n">
        <v>2</v>
      </c>
      <c r="C19" s="70">
        <f>'8Б СОР-СОЧ'!B5</f>
        <v/>
      </c>
      <c r="D19" s="71">
        <f>IFERROR(INDEX('8Б Алгебра'!$Z:$Z,MATCH($C19,'8Б Алгебра'!$B:$B,0))/10,"")</f>
        <v/>
      </c>
      <c r="E19" s="71">
        <f>('8Б СОР-СОЧ'!C5)/('8Б СОР-СОЧ'!C$18)</f>
        <v/>
      </c>
      <c r="F19" s="71">
        <f>IF('8Б СОР-СОЧ'!E5="","",'8Б СОР-СОЧ'!E5/'8Б СОР-СОЧ'!E$18)</f>
        <v/>
      </c>
      <c r="G19" s="71">
        <f>IF(OR(F19="",D19=""),"",D19*Правила!$B$4+E19*Правила!$B$5+F19*Правила!$B$6)</f>
        <v/>
      </c>
      <c r="H19" s="72">
        <f>IF(G19="","нет СОЧ",IF(G19&gt;=Правила!$B$8,5,IF(G19&gt;=Правила!$B$9,4,IF(G19&gt;=Правила!$B$10,3,2))))</f>
        <v/>
      </c>
      <c r="I19" s="71">
        <f>IFERROR(INDEX('8Б Геометрия'!$S:$S,MATCH($C19,'8Б Геометрия'!$B:$B,0))/10,"")</f>
        <v/>
      </c>
      <c r="J19" s="71">
        <f>('8Б СОР-СОЧ'!G5)/('8Б СОР-СОЧ'!G$18)</f>
        <v/>
      </c>
      <c r="K19" s="71">
        <f>IF('8Б СОР-СОЧ'!I5="","",'8Б СОР-СОЧ'!I5/'8Б СОР-СОЧ'!I$18)</f>
        <v/>
      </c>
      <c r="L19" s="71">
        <f>IF(OR(K19="",I19=""),"",I19*Правила!$B$4+J19*Правила!$B$5+K19*Правила!$B$6)</f>
        <v/>
      </c>
      <c r="M19" s="72">
        <f>IF(L19="","нет СОЧ",IF(L19&gt;=Правила!$B$8,5,IF(L19&gt;=Правила!$B$9,4,IF(L19&gt;=Правила!$B$10,3,2))))</f>
        <v/>
      </c>
      <c r="N19" s="72">
        <f>IF(OR(H19="нет СОЧ",M19="нет СОЧ"),"нет СОЧ",IF(AND(H19=5,M19=5),"Отличник",IF(MIN(H19,M19)&gt;=4,"Хорошист",IF(AND(MIN(H19,M19)=3,MAX(H19,M19)&gt;=4),"Резерв (одна «3»)",""))))</f>
        <v/>
      </c>
    </row>
    <row r="20" ht="15" customHeight="1" s="57">
      <c r="A20" s="69" t="inlineStr">
        <is>
          <t>8Б</t>
        </is>
      </c>
      <c r="B20" s="69" t="n">
        <v>3</v>
      </c>
      <c r="C20" s="70">
        <f>'8Б СОР-СОЧ'!B6</f>
        <v/>
      </c>
      <c r="D20" s="71">
        <f>IFERROR(INDEX('8Б Алгебра'!$Z:$Z,MATCH($C20,'8Б Алгебра'!$B:$B,0))/10,"")</f>
        <v/>
      </c>
      <c r="E20" s="71">
        <f>('8Б СОР-СОЧ'!C6)/('8Б СОР-СОЧ'!C$18)</f>
        <v/>
      </c>
      <c r="F20" s="71">
        <f>IF('8Б СОР-СОЧ'!E6="","",'8Б СОР-СОЧ'!E6/'8Б СОР-СОЧ'!E$18)</f>
        <v/>
      </c>
      <c r="G20" s="71">
        <f>IF(OR(F20="",D20=""),"",D20*Правила!$B$4+E20*Правила!$B$5+F20*Правила!$B$6)</f>
        <v/>
      </c>
      <c r="H20" s="72">
        <f>IF(G20="","нет СОЧ",IF(G20&gt;=Правила!$B$8,5,IF(G20&gt;=Правила!$B$9,4,IF(G20&gt;=Правила!$B$10,3,2))))</f>
        <v/>
      </c>
      <c r="I20" s="71">
        <f>IFERROR(INDEX('8Б Геометрия'!$S:$S,MATCH($C20,'8Б Геометрия'!$B:$B,0))/10,"")</f>
        <v/>
      </c>
      <c r="J20" s="71">
        <f>('8Б СОР-СОЧ'!G6)/('8Б СОР-СОЧ'!G$18)</f>
        <v/>
      </c>
      <c r="K20" s="71">
        <f>IF('8Б СОР-СОЧ'!I6="","",'8Б СОР-СОЧ'!I6/'8Б СОР-СОЧ'!I$18)</f>
        <v/>
      </c>
      <c r="L20" s="71">
        <f>IF(OR(K20="",I20=""),"",I20*Правила!$B$4+J20*Правила!$B$5+K20*Правила!$B$6)</f>
        <v/>
      </c>
      <c r="M20" s="72">
        <f>IF(L20="","нет СОЧ",IF(L20&gt;=Правила!$B$8,5,IF(L20&gt;=Правила!$B$9,4,IF(L20&gt;=Правила!$B$10,3,2))))</f>
        <v/>
      </c>
      <c r="N20" s="72">
        <f>IF(OR(H20="нет СОЧ",M20="нет СОЧ"),"нет СОЧ",IF(AND(H20=5,M20=5),"Отличник",IF(MIN(H20,M20)&gt;=4,"Хорошист",IF(AND(MIN(H20,M20)=3,MAX(H20,M20)&gt;=4),"Резерв (одна «3»)",""))))</f>
        <v/>
      </c>
    </row>
    <row r="21" ht="15" customHeight="1" s="57">
      <c r="A21" s="69" t="inlineStr">
        <is>
          <t>8Б</t>
        </is>
      </c>
      <c r="B21" s="69" t="n">
        <v>4</v>
      </c>
      <c r="C21" s="70">
        <f>'8Б СОР-СОЧ'!B7</f>
        <v/>
      </c>
      <c r="D21" s="71">
        <f>IFERROR(INDEX('8Б Алгебра'!$Z:$Z,MATCH($C21,'8Б Алгебра'!$B:$B,0))/10,"")</f>
        <v/>
      </c>
      <c r="E21" s="71">
        <f>('8Б СОР-СОЧ'!C7)/('8Б СОР-СОЧ'!C$18)</f>
        <v/>
      </c>
      <c r="F21" s="71">
        <f>IF('8Б СОР-СОЧ'!E7="","",'8Б СОР-СОЧ'!E7/'8Б СОР-СОЧ'!E$18)</f>
        <v/>
      </c>
      <c r="G21" s="71">
        <f>IF(OR(F21="",D21=""),"",D21*Правила!$B$4+E21*Правила!$B$5+F21*Правила!$B$6)</f>
        <v/>
      </c>
      <c r="H21" s="72">
        <f>IF(G21="","нет СОЧ",IF(G21&gt;=Правила!$B$8,5,IF(G21&gt;=Правила!$B$9,4,IF(G21&gt;=Правила!$B$10,3,2))))</f>
        <v/>
      </c>
      <c r="I21" s="71">
        <f>IFERROR(INDEX('8Б Геометрия'!$S:$S,MATCH($C21,'8Б Геометрия'!$B:$B,0))/10,"")</f>
        <v/>
      </c>
      <c r="J21" s="71">
        <f>('8Б СОР-СОЧ'!G7)/('8Б СОР-СОЧ'!G$18)</f>
        <v/>
      </c>
      <c r="K21" s="71">
        <f>IF('8Б СОР-СОЧ'!I7="","",'8Б СОР-СОЧ'!I7/'8Б СОР-СОЧ'!I$18)</f>
        <v/>
      </c>
      <c r="L21" s="71">
        <f>IF(OR(K21="",I21=""),"",I21*Правила!$B$4+J21*Правила!$B$5+K21*Правила!$B$6)</f>
        <v/>
      </c>
      <c r="M21" s="72">
        <f>IF(L21="","нет СОЧ",IF(L21&gt;=Правила!$B$8,5,IF(L21&gt;=Правила!$B$9,4,IF(L21&gt;=Правила!$B$10,3,2))))</f>
        <v/>
      </c>
      <c r="N21" s="72">
        <f>IF(OR(H21="нет СОЧ",M21="нет СОЧ"),"нет СОЧ",IF(AND(H21=5,M21=5),"Отличник",IF(MIN(H21,M21)&gt;=4,"Хорошист",IF(AND(MIN(H21,M21)=3,MAX(H21,M21)&gt;=4),"Резерв (одна «3»)",""))))</f>
        <v/>
      </c>
    </row>
    <row r="22" ht="15" customHeight="1" s="57">
      <c r="A22" s="69" t="inlineStr">
        <is>
          <t>8Б</t>
        </is>
      </c>
      <c r="B22" s="69" t="n">
        <v>5</v>
      </c>
      <c r="C22" s="70">
        <f>'8Б СОР-СОЧ'!B8</f>
        <v/>
      </c>
      <c r="D22" s="71">
        <f>IFERROR(INDEX('8Б Алгебра'!$Z:$Z,MATCH($C22,'8Б Алгебра'!$B:$B,0))/10,"")</f>
        <v/>
      </c>
      <c r="E22" s="71">
        <f>('8Б СОР-СОЧ'!C8)/('8Б СОР-СОЧ'!C$18)</f>
        <v/>
      </c>
      <c r="F22" s="71">
        <f>IF('8Б СОР-СОЧ'!E8="","",'8Б СОР-СОЧ'!E8/'8Б СОР-СОЧ'!E$18)</f>
        <v/>
      </c>
      <c r="G22" s="71">
        <f>IF(OR(F22="",D22=""),"",D22*Правила!$B$4+E22*Правила!$B$5+F22*Правила!$B$6)</f>
        <v/>
      </c>
      <c r="H22" s="72">
        <f>IF(G22="","нет СОЧ",IF(G22&gt;=Правила!$B$8,5,IF(G22&gt;=Правила!$B$9,4,IF(G22&gt;=Правила!$B$10,3,2))))</f>
        <v/>
      </c>
      <c r="I22" s="71">
        <f>IFERROR(INDEX('8Б Геометрия'!$S:$S,MATCH($C22,'8Б Геометрия'!$B:$B,0))/10,"")</f>
        <v/>
      </c>
      <c r="J22" s="71">
        <f>('8Б СОР-СОЧ'!G8)/('8Б СОР-СОЧ'!G$18)</f>
        <v/>
      </c>
      <c r="K22" s="71">
        <f>IF('8Б СОР-СОЧ'!I8="","",'8Б СОР-СОЧ'!I8/'8Б СОР-СОЧ'!I$18)</f>
        <v/>
      </c>
      <c r="L22" s="71">
        <f>IF(OR(K22="",I22=""),"",I22*Правила!$B$4+J22*Правила!$B$5+K22*Правила!$B$6)</f>
        <v/>
      </c>
      <c r="M22" s="72">
        <f>IF(L22="","нет СОЧ",IF(L22&gt;=Правила!$B$8,5,IF(L22&gt;=Правила!$B$9,4,IF(L22&gt;=Правила!$B$10,3,2))))</f>
        <v/>
      </c>
      <c r="N22" s="72">
        <f>IF(OR(H22="нет СОЧ",M22="нет СОЧ"),"нет СОЧ",IF(AND(H22=5,M22=5),"Отличник",IF(MIN(H22,M22)&gt;=4,"Хорошист",IF(AND(MIN(H22,M22)=3,MAX(H22,M22)&gt;=4),"Резерв (одна «3»)",""))))</f>
        <v/>
      </c>
    </row>
    <row r="23" ht="15" customHeight="1" s="57">
      <c r="A23" s="69" t="inlineStr">
        <is>
          <t>8Б</t>
        </is>
      </c>
      <c r="B23" s="69" t="n">
        <v>6</v>
      </c>
      <c r="C23" s="70">
        <f>'8Б СОР-СОЧ'!B9</f>
        <v/>
      </c>
      <c r="D23" s="71">
        <f>IFERROR(INDEX('8Б Алгебра'!$Z:$Z,MATCH($C23,'8Б Алгебра'!$B:$B,0))/10,"")</f>
        <v/>
      </c>
      <c r="E23" s="71">
        <f>('8Б СОР-СОЧ'!C9)/('8Б СОР-СОЧ'!C$18)</f>
        <v/>
      </c>
      <c r="F23" s="71">
        <f>IF('8Б СОР-СОЧ'!E9="","",'8Б СОР-СОЧ'!E9/'8Б СОР-СОЧ'!E$18)</f>
        <v/>
      </c>
      <c r="G23" s="71">
        <f>IF(OR(F23="",D23=""),"",D23*Правила!$B$4+E23*Правила!$B$5+F23*Правила!$B$6)</f>
        <v/>
      </c>
      <c r="H23" s="72">
        <f>IF(G23="","нет СОЧ",IF(G23&gt;=Правила!$B$8,5,IF(G23&gt;=Правила!$B$9,4,IF(G23&gt;=Правила!$B$10,3,2))))</f>
        <v/>
      </c>
      <c r="I23" s="71">
        <f>IFERROR(INDEX('8Б Геометрия'!$S:$S,MATCH($C23,'8Б Геометрия'!$B:$B,0))/10,"")</f>
        <v/>
      </c>
      <c r="J23" s="71">
        <f>('8Б СОР-СОЧ'!G9)/('8Б СОР-СОЧ'!G$18)</f>
        <v/>
      </c>
      <c r="K23" s="71">
        <f>IF('8Б СОР-СОЧ'!I9="","",'8Б СОР-СОЧ'!I9/'8Б СОР-СОЧ'!I$18)</f>
        <v/>
      </c>
      <c r="L23" s="71">
        <f>IF(OR(K23="",I23=""),"",I23*Правила!$B$4+J23*Правила!$B$5+K23*Правила!$B$6)</f>
        <v/>
      </c>
      <c r="M23" s="72">
        <f>IF(L23="","нет СОЧ",IF(L23&gt;=Правила!$B$8,5,IF(L23&gt;=Правила!$B$9,4,IF(L23&gt;=Правила!$B$10,3,2))))</f>
        <v/>
      </c>
      <c r="N23" s="72">
        <f>IF(OR(H23="нет СОЧ",M23="нет СОЧ"),"нет СОЧ",IF(AND(H23=5,M23=5),"Отличник",IF(MIN(H23,M23)&gt;=4,"Хорошист",IF(AND(MIN(H23,M23)=3,MAX(H23,M23)&gt;=4),"Резерв (одна «3»)",""))))</f>
        <v/>
      </c>
    </row>
    <row r="24" ht="15" customHeight="1" s="57">
      <c r="A24" s="69" t="inlineStr">
        <is>
          <t>8Б</t>
        </is>
      </c>
      <c r="B24" s="69" t="n">
        <v>7</v>
      </c>
      <c r="C24" s="70">
        <f>'8Б СОР-СОЧ'!B10</f>
        <v/>
      </c>
      <c r="D24" s="71">
        <f>IFERROR(INDEX('8Б Алгебра'!$Z:$Z,MATCH($C24,'8Б Алгебра'!$B:$B,0))/10,"")</f>
        <v/>
      </c>
      <c r="E24" s="71">
        <f>('8Б СОР-СОЧ'!C10)/('8Б СОР-СОЧ'!C$18)</f>
        <v/>
      </c>
      <c r="F24" s="71">
        <f>IF('8Б СОР-СОЧ'!E10="","",'8Б СОР-СОЧ'!E10/'8Б СОР-СОЧ'!E$18)</f>
        <v/>
      </c>
      <c r="G24" s="71">
        <f>IF(OR(F24="",D24=""),"",D24*Правила!$B$4+E24*Правила!$B$5+F24*Правила!$B$6)</f>
        <v/>
      </c>
      <c r="H24" s="72">
        <f>IF(G24="","нет СОЧ",IF(G24&gt;=Правила!$B$8,5,IF(G24&gt;=Правила!$B$9,4,IF(G24&gt;=Правила!$B$10,3,2))))</f>
        <v/>
      </c>
      <c r="I24" s="71">
        <f>IFERROR(INDEX('8Б Геометрия'!$S:$S,MATCH($C24,'8Б Геометрия'!$B:$B,0))/10,"")</f>
        <v/>
      </c>
      <c r="J24" s="71">
        <f>('8Б СОР-СОЧ'!G10)/('8Б СОР-СОЧ'!G$18)</f>
        <v/>
      </c>
      <c r="K24" s="71">
        <f>IF('8Б СОР-СОЧ'!I10="","",'8Б СОР-СОЧ'!I10/'8Б СОР-СОЧ'!I$18)</f>
        <v/>
      </c>
      <c r="L24" s="71">
        <f>IF(OR(K24="",I24=""),"",I24*Правила!$B$4+J24*Правила!$B$5+K24*Правила!$B$6)</f>
        <v/>
      </c>
      <c r="M24" s="72">
        <f>IF(L24="","нет СОЧ",IF(L24&gt;=Правила!$B$8,5,IF(L24&gt;=Правила!$B$9,4,IF(L24&gt;=Правила!$B$10,3,2))))</f>
        <v/>
      </c>
      <c r="N24" s="72">
        <f>IF(OR(H24="нет СОЧ",M24="нет СОЧ"),"нет СОЧ",IF(AND(H24=5,M24=5),"Отличник",IF(MIN(H24,M24)&gt;=4,"Хорошист",IF(AND(MIN(H24,M24)=3,MAX(H24,M24)&gt;=4),"Резерв (одна «3»)",""))))</f>
        <v/>
      </c>
    </row>
    <row r="25" ht="15" customHeight="1" s="57">
      <c r="A25" s="69" t="inlineStr">
        <is>
          <t>8Б</t>
        </is>
      </c>
      <c r="B25" s="69" t="n">
        <v>8</v>
      </c>
      <c r="C25" s="70">
        <f>'8Б СОР-СОЧ'!B11</f>
        <v/>
      </c>
      <c r="D25" s="71">
        <f>IFERROR(INDEX('8Б Алгебра'!$Z:$Z,MATCH($C25,'8Б Алгебра'!$B:$B,0))/10,"")</f>
        <v/>
      </c>
      <c r="E25" s="71">
        <f>('8Б СОР-СОЧ'!C11)/('8Б СОР-СОЧ'!C$18)</f>
        <v/>
      </c>
      <c r="F25" s="71">
        <f>IF('8Б СОР-СОЧ'!E11="","",'8Б СОР-СОЧ'!E11/'8Б СОР-СОЧ'!E$18)</f>
        <v/>
      </c>
      <c r="G25" s="71">
        <f>IF(OR(F25="",D25=""),"",D25*Правила!$B$4+E25*Правила!$B$5+F25*Правила!$B$6)</f>
        <v/>
      </c>
      <c r="H25" s="72">
        <f>IF(G25="","нет СОЧ",IF(G25&gt;=Правила!$B$8,5,IF(G25&gt;=Правила!$B$9,4,IF(G25&gt;=Правила!$B$10,3,2))))</f>
        <v/>
      </c>
      <c r="I25" s="71">
        <f>IFERROR(INDEX('8Б Геометрия'!$S:$S,MATCH($C25,'8Б Геометрия'!$B:$B,0))/10,"")</f>
        <v/>
      </c>
      <c r="J25" s="71">
        <f>('8Б СОР-СОЧ'!G11)/('8Б СОР-СОЧ'!G$18)</f>
        <v/>
      </c>
      <c r="K25" s="71">
        <f>IF('8Б СОР-СОЧ'!I11="","",'8Б СОР-СОЧ'!I11/'8Б СОР-СОЧ'!I$18)</f>
        <v/>
      </c>
      <c r="L25" s="71">
        <f>IF(OR(K25="",I25=""),"",I25*Правила!$B$4+J25*Правила!$B$5+K25*Правила!$B$6)</f>
        <v/>
      </c>
      <c r="M25" s="72">
        <f>IF(L25="","нет СОЧ",IF(L25&gt;=Правила!$B$8,5,IF(L25&gt;=Правила!$B$9,4,IF(L25&gt;=Правила!$B$10,3,2))))</f>
        <v/>
      </c>
      <c r="N25" s="72">
        <f>IF(OR(H25="нет СОЧ",M25="нет СОЧ"),"нет СОЧ",IF(AND(H25=5,M25=5),"Отличник",IF(MIN(H25,M25)&gt;=4,"Хорошист",IF(AND(MIN(H25,M25)=3,MAX(H25,M25)&gt;=4),"Резерв (одна «3»)",""))))</f>
        <v/>
      </c>
    </row>
    <row r="26" ht="15" customHeight="1" s="57">
      <c r="A26" s="69" t="inlineStr">
        <is>
          <t>8Б</t>
        </is>
      </c>
      <c r="B26" s="69" t="n">
        <v>9</v>
      </c>
      <c r="C26" s="70">
        <f>'8Б СОР-СОЧ'!B12</f>
        <v/>
      </c>
      <c r="D26" s="71">
        <f>IFERROR(INDEX('8Б Алгебра'!$Z:$Z,MATCH($C26,'8Б Алгебра'!$B:$B,0))/10,"")</f>
        <v/>
      </c>
      <c r="E26" s="71">
        <f>('8Б СОР-СОЧ'!C12)/('8Б СОР-СОЧ'!C$18)</f>
        <v/>
      </c>
      <c r="F26" s="71">
        <f>IF('8Б СОР-СОЧ'!E12="","",'8Б СОР-СОЧ'!E12/'8Б СОР-СОЧ'!E$18)</f>
        <v/>
      </c>
      <c r="G26" s="71">
        <f>IF(OR(F26="",D26=""),"",D26*Правила!$B$4+E26*Правила!$B$5+F26*Правила!$B$6)</f>
        <v/>
      </c>
      <c r="H26" s="72">
        <f>IF(G26="","нет СОЧ",IF(G26&gt;=Правила!$B$8,5,IF(G26&gt;=Правила!$B$9,4,IF(G26&gt;=Правила!$B$10,3,2))))</f>
        <v/>
      </c>
      <c r="I26" s="71">
        <f>IFERROR(INDEX('8Б Геометрия'!$S:$S,MATCH($C26,'8Б Геометрия'!$B:$B,0))/10,"")</f>
        <v/>
      </c>
      <c r="J26" s="71">
        <f>('8Б СОР-СОЧ'!G12)/('8Б СОР-СОЧ'!G$18)</f>
        <v/>
      </c>
      <c r="K26" s="71">
        <f>IF('8Б СОР-СОЧ'!I12="","",'8Б СОР-СОЧ'!I12/'8Б СОР-СОЧ'!I$18)</f>
        <v/>
      </c>
      <c r="L26" s="71">
        <f>IF(OR(K26="",I26=""),"",I26*Правила!$B$4+J26*Правила!$B$5+K26*Правила!$B$6)</f>
        <v/>
      </c>
      <c r="M26" s="72">
        <f>IF(L26="","нет СОЧ",IF(L26&gt;=Правила!$B$8,5,IF(L26&gt;=Правила!$B$9,4,IF(L26&gt;=Правила!$B$10,3,2))))</f>
        <v/>
      </c>
      <c r="N26" s="72">
        <f>IF(OR(H26="нет СОЧ",M26="нет СОЧ"),"нет СОЧ",IF(AND(H26=5,M26=5),"Отличник",IF(MIN(H26,M26)&gt;=4,"Хорошист",IF(AND(MIN(H26,M26)=3,MAX(H26,M26)&gt;=4),"Резерв (одна «3»)",""))))</f>
        <v/>
      </c>
    </row>
    <row r="27" ht="15" customHeight="1" s="57">
      <c r="A27" s="69" t="inlineStr">
        <is>
          <t>8Б</t>
        </is>
      </c>
      <c r="B27" s="69" t="n">
        <v>10</v>
      </c>
      <c r="C27" s="70">
        <f>'8Б СОР-СОЧ'!B13</f>
        <v/>
      </c>
      <c r="D27" s="71">
        <f>IFERROR(INDEX('8Б Алгебра'!$Z:$Z,MATCH($C27,'8Б Алгебра'!$B:$B,0))/10,"")</f>
        <v/>
      </c>
      <c r="E27" s="71">
        <f>('8Б СОР-СОЧ'!C13)/('8Б СОР-СОЧ'!C$18)</f>
        <v/>
      </c>
      <c r="F27" s="71">
        <f>IF('8Б СОР-СОЧ'!E13="","",'8Б СОР-СОЧ'!E13/'8Б СОР-СОЧ'!E$18)</f>
        <v/>
      </c>
      <c r="G27" s="71">
        <f>IF(OR(F27="",D27=""),"",D27*Правила!$B$4+E27*Правила!$B$5+F27*Правила!$B$6)</f>
        <v/>
      </c>
      <c r="H27" s="72">
        <f>IF(G27="","нет СОЧ",IF(G27&gt;=Правила!$B$8,5,IF(G27&gt;=Правила!$B$9,4,IF(G27&gt;=Правила!$B$10,3,2))))</f>
        <v/>
      </c>
      <c r="I27" s="71">
        <f>IFERROR(INDEX('8Б Геометрия'!$S:$S,MATCH($C27,'8Б Геометрия'!$B:$B,0))/10,"")</f>
        <v/>
      </c>
      <c r="J27" s="71">
        <f>('8Б СОР-СОЧ'!G13)/('8Б СОР-СОЧ'!G$18)</f>
        <v/>
      </c>
      <c r="K27" s="71">
        <f>IF('8Б СОР-СОЧ'!I13="","",'8Б СОР-СОЧ'!I13/'8Б СОР-СОЧ'!I$18)</f>
        <v/>
      </c>
      <c r="L27" s="71">
        <f>IF(OR(K27="",I27=""),"",I27*Правила!$B$4+J27*Правила!$B$5+K27*Правила!$B$6)</f>
        <v/>
      </c>
      <c r="M27" s="72">
        <f>IF(L27="","нет СОЧ",IF(L27&gt;=Правила!$B$8,5,IF(L27&gt;=Правила!$B$9,4,IF(L27&gt;=Правила!$B$10,3,2))))</f>
        <v/>
      </c>
      <c r="N27" s="72">
        <f>IF(OR(H27="нет СОЧ",M27="нет СОЧ"),"нет СОЧ",IF(AND(H27=5,M27=5),"Отличник",IF(MIN(H27,M27)&gt;=4,"Хорошист",IF(AND(MIN(H27,M27)=3,MAX(H27,M27)&gt;=4),"Резерв (одна «3»)",""))))</f>
        <v/>
      </c>
    </row>
    <row r="28" ht="15" customHeight="1" s="57">
      <c r="A28" s="69" t="inlineStr">
        <is>
          <t>8Б</t>
        </is>
      </c>
      <c r="B28" s="69" t="n">
        <v>11</v>
      </c>
      <c r="C28" s="70">
        <f>'8Б СОР-СОЧ'!B14</f>
        <v/>
      </c>
      <c r="D28" s="71">
        <f>IFERROR(INDEX('8Б Алгебра'!$Z:$Z,MATCH($C28,'8Б Алгебра'!$B:$B,0))/10,"")</f>
        <v/>
      </c>
      <c r="E28" s="71">
        <f>('8Б СОР-СОЧ'!C14)/('8Б СОР-СОЧ'!C$18)</f>
        <v/>
      </c>
      <c r="F28" s="71">
        <f>IF('8Б СОР-СОЧ'!E14="","",'8Б СОР-СОЧ'!E14/'8Б СОР-СОЧ'!E$18)</f>
        <v/>
      </c>
      <c r="G28" s="71">
        <f>IF(OR(F28="",D28=""),"",D28*Правила!$B$4+E28*Правила!$B$5+F28*Правила!$B$6)</f>
        <v/>
      </c>
      <c r="H28" s="72">
        <f>IF(G28="","нет СОЧ",IF(G28&gt;=Правила!$B$8,5,IF(G28&gt;=Правила!$B$9,4,IF(G28&gt;=Правила!$B$10,3,2))))</f>
        <v/>
      </c>
      <c r="I28" s="71">
        <f>IFERROR(INDEX('8Б Геометрия'!$S:$S,MATCH($C28,'8Б Геометрия'!$B:$B,0))/10,"")</f>
        <v/>
      </c>
      <c r="J28" s="71">
        <f>('8Б СОР-СОЧ'!G14)/('8Б СОР-СОЧ'!G$18)</f>
        <v/>
      </c>
      <c r="K28" s="71">
        <f>IF('8Б СОР-СОЧ'!I14="","",'8Б СОР-СОЧ'!I14/'8Б СОР-СОЧ'!I$18)</f>
        <v/>
      </c>
      <c r="L28" s="71">
        <f>IF(OR(K28="",I28=""),"",I28*Правила!$B$4+J28*Правила!$B$5+K28*Правила!$B$6)</f>
        <v/>
      </c>
      <c r="M28" s="72">
        <f>IF(L28="","нет СОЧ",IF(L28&gt;=Правила!$B$8,5,IF(L28&gt;=Правила!$B$9,4,IF(L28&gt;=Правила!$B$10,3,2))))</f>
        <v/>
      </c>
      <c r="N28" s="72">
        <f>IF(OR(H28="нет СОЧ",M28="нет СОЧ"),"нет СОЧ",IF(AND(H28=5,M28=5),"Отличник",IF(MIN(H28,M28)&gt;=4,"Хорошист",IF(AND(MIN(H28,M28)=3,MAX(H28,M28)&gt;=4),"Резерв (одна «3»)",""))))</f>
        <v/>
      </c>
    </row>
    <row r="29" ht="15" customHeight="1" s="57">
      <c r="A29" s="69" t="inlineStr">
        <is>
          <t>8Б</t>
        </is>
      </c>
      <c r="B29" s="69" t="n">
        <v>12</v>
      </c>
      <c r="C29" s="70">
        <f>'8Б СОР-СОЧ'!B15</f>
        <v/>
      </c>
      <c r="D29" s="71">
        <f>IFERROR(INDEX('8Б Алгебра'!$Z:$Z,MATCH($C29,'8Б Алгебра'!$B:$B,0))/10,"")</f>
        <v/>
      </c>
      <c r="E29" s="71">
        <f>('8Б СОР-СОЧ'!C15)/('8Б СОР-СОЧ'!C$18)</f>
        <v/>
      </c>
      <c r="F29" s="71">
        <f>IF('8Б СОР-СОЧ'!E15="","",'8Б СОР-СОЧ'!E15/'8Б СОР-СОЧ'!E$18)</f>
        <v/>
      </c>
      <c r="G29" s="71">
        <f>IF(OR(F29="",D29=""),"",D29*Правила!$B$4+E29*Правила!$B$5+F29*Правила!$B$6)</f>
        <v/>
      </c>
      <c r="H29" s="72">
        <f>IF(G29="","нет СОЧ",IF(G29&gt;=Правила!$B$8,5,IF(G29&gt;=Правила!$B$9,4,IF(G29&gt;=Правила!$B$10,3,2))))</f>
        <v/>
      </c>
      <c r="I29" s="71">
        <f>IFERROR(INDEX('8Б Геометрия'!$S:$S,MATCH($C29,'8Б Геометрия'!$B:$B,0))/10,"")</f>
        <v/>
      </c>
      <c r="J29" s="71">
        <f>('8Б СОР-СОЧ'!G15)/('8Б СОР-СОЧ'!G$18)</f>
        <v/>
      </c>
      <c r="K29" s="71">
        <f>IF('8Б СОР-СОЧ'!I15="","",'8Б СОР-СОЧ'!I15/'8Б СОР-СОЧ'!I$18)</f>
        <v/>
      </c>
      <c r="L29" s="71">
        <f>IF(OR(K29="",I29=""),"",I29*Правила!$B$4+J29*Правила!$B$5+K29*Правила!$B$6)</f>
        <v/>
      </c>
      <c r="M29" s="72">
        <f>IF(L29="","нет СОЧ",IF(L29&gt;=Правила!$B$8,5,IF(L29&gt;=Правила!$B$9,4,IF(L29&gt;=Правила!$B$10,3,2))))</f>
        <v/>
      </c>
      <c r="N29" s="72">
        <f>IF(OR(H29="нет СОЧ",M29="нет СОЧ"),"нет СОЧ",IF(AND(H29=5,M29=5),"Отличник",IF(MIN(H29,M29)&gt;=4,"Хорошист",IF(AND(MIN(H29,M29)=3,MAX(H29,M29)&gt;=4),"Резерв (одна «3»)",""))))</f>
        <v/>
      </c>
    </row>
    <row r="30" ht="15" customHeight="1" s="57">
      <c r="A30" s="73" t="inlineStr">
        <is>
          <t>8Б</t>
        </is>
      </c>
      <c r="B30" s="73" t="n">
        <v>13</v>
      </c>
      <c r="C30" s="74">
        <f>'8Б СОР-СОЧ'!B16</f>
        <v/>
      </c>
      <c r="D30" s="75">
        <f>IFERROR(INDEX('8Б Алгебра'!$Z:$Z,MATCH($C30,'8Б Алгебра'!$B:$B,0))/10,"")</f>
        <v/>
      </c>
      <c r="E30" s="75">
        <f>('8Б СОР-СОЧ'!C16)/('8Б СОР-СОЧ'!C$18)</f>
        <v/>
      </c>
      <c r="F30" s="75">
        <f>IF('8Б СОР-СОЧ'!E16="","",'8Б СОР-СОЧ'!E16/'8Б СОР-СОЧ'!E$18)</f>
        <v/>
      </c>
      <c r="G30" s="75">
        <f>IF(OR(F30="",D30=""),"",D30*Правила!$B$4+E30*Правила!$B$5+F30*Правила!$B$6)</f>
        <v/>
      </c>
      <c r="H30" s="76">
        <f>IF(G30="","нет СОЧ",IF(G30&gt;=Правила!$B$8,5,IF(G30&gt;=Правила!$B$9,4,IF(G30&gt;=Правила!$B$10,3,2))))</f>
        <v/>
      </c>
      <c r="I30" s="75">
        <f>IFERROR(INDEX('8Б Геометрия'!$S:$S,MATCH($C30,'8Б Геометрия'!$B:$B,0))/10,"")</f>
        <v/>
      </c>
      <c r="J30" s="75">
        <f>('8Б СОР-СОЧ'!G16)/('8Б СОР-СОЧ'!G$18)</f>
        <v/>
      </c>
      <c r="K30" s="75">
        <f>IF('8Б СОР-СОЧ'!I16="","",'8Б СОР-СОЧ'!I16/'8Б СОР-СОЧ'!I$18)</f>
        <v/>
      </c>
      <c r="L30" s="75">
        <f>IF(OR(K30="",I30=""),"",I30*Правила!$B$4+J30*Правила!$B$5+K30*Правила!$B$6)</f>
        <v/>
      </c>
      <c r="M30" s="76">
        <f>IF(L30="","нет СОЧ",IF(L30&gt;=Правила!$B$8,5,IF(L30&gt;=Правила!$B$9,4,IF(L30&gt;=Правила!$B$10,3,2))))</f>
        <v/>
      </c>
      <c r="N30" s="76">
        <f>IF(OR(H30="нет СОЧ",M30="нет СОЧ"),"нет СОЧ",IF(AND(H30=5,M30=5),"Отличник",IF(MIN(H30,M30)&gt;=4,"Хорошист",IF(AND(MIN(H30,M30)=3,MAX(H30,M30)&gt;=4),"Резерв (одна «3»)",""))))</f>
        <v/>
      </c>
    </row>
    <row r="31" ht="15" customHeight="1" s="57">
      <c r="A31" s="69" t="inlineStr">
        <is>
          <t>9Б</t>
        </is>
      </c>
      <c r="B31" s="69" t="n">
        <v>1</v>
      </c>
      <c r="C31" s="70">
        <f>'9Б СОР-СОЧ'!B4</f>
        <v/>
      </c>
      <c r="D31" s="71">
        <f>IFERROR(INDEX('9Б Алгебра'!$Z:$Z,MATCH($C31,'9Б Алгебра'!$B:$B,0))/10,"")</f>
        <v/>
      </c>
      <c r="E31" s="71">
        <f>('9Б СОР-СОЧ'!C4+'9Б СОР-СОЧ'!E4)/('9Б СОР-СОЧ'!C$25+'9Б СОР-СОЧ'!E$25)</f>
        <v/>
      </c>
      <c r="F31" s="71">
        <f>IF('9Б СОР-СОЧ'!G4="","",'9Б СОР-СОЧ'!G4/'9Б СОР-СОЧ'!G$25)</f>
        <v/>
      </c>
      <c r="G31" s="71">
        <f>IF(OR(F31="",D31=""),"",D31*Правила!$B$4+E31*Правила!$B$5+F31*Правила!$B$6)</f>
        <v/>
      </c>
      <c r="H31" s="72">
        <f>IF(G31="","нет СОЧ",IF(G31&gt;=Правила!$B$8,5,IF(G31&gt;=Правила!$B$9,4,IF(G31&gt;=Правила!$B$10,3,2))))</f>
        <v/>
      </c>
      <c r="I31" s="71">
        <f>IFERROR(INDEX('9Б Геометрия'!$S:$S,MATCH($C31,'9Б Геометрия'!$B:$B,0))/10,"")</f>
        <v/>
      </c>
      <c r="J31" s="71">
        <f>('9Б СОР-СОЧ'!I4)/('9Б СОР-СОЧ'!I$25)</f>
        <v/>
      </c>
      <c r="K31" s="71">
        <f>IF('9Б СОР-СОЧ'!K4="","",'9Б СОР-СОЧ'!K4/'9Б СОР-СОЧ'!K$25)</f>
        <v/>
      </c>
      <c r="L31" s="71">
        <f>IF(OR(K31="",I31=""),"",I31*Правила!$B$4+J31*Правила!$B$5+K31*Правила!$B$6)</f>
        <v/>
      </c>
      <c r="M31" s="72">
        <f>IF(L31="","нет СОЧ",IF(L31&gt;=Правила!$B$8,5,IF(L31&gt;=Правила!$B$9,4,IF(L31&gt;=Правила!$B$10,3,2))))</f>
        <v/>
      </c>
      <c r="N31" s="72">
        <f>IF(OR(H31="нет СОЧ",M31="нет СОЧ"),"нет СОЧ",IF(AND(H31=5,M31=5),"Отличник",IF(MIN(H31,M31)&gt;=4,"Хорошист",IF(AND(MIN(H31,M31)=3,MAX(H31,M31)&gt;=4),"Резерв (одна «3»)",""))))</f>
        <v/>
      </c>
    </row>
    <row r="32" ht="15" customHeight="1" s="57">
      <c r="A32" s="69" t="inlineStr">
        <is>
          <t>9Б</t>
        </is>
      </c>
      <c r="B32" s="69" t="n">
        <v>2</v>
      </c>
      <c r="C32" s="70">
        <f>'9Б СОР-СОЧ'!B5</f>
        <v/>
      </c>
      <c r="D32" s="71">
        <f>IFERROR(INDEX('9Б Алгебра'!$Z:$Z,MATCH($C32,'9Б Алгебра'!$B:$B,0))/10,"")</f>
        <v/>
      </c>
      <c r="E32" s="71">
        <f>('9Б СОР-СОЧ'!C5+'9Б СОР-СОЧ'!E5)/('9Б СОР-СОЧ'!C$25+'9Б СОР-СОЧ'!E$25)</f>
        <v/>
      </c>
      <c r="F32" s="71">
        <f>IF('9Б СОР-СОЧ'!G5="","",'9Б СОР-СОЧ'!G5/'9Б СОР-СОЧ'!G$25)</f>
        <v/>
      </c>
      <c r="G32" s="71">
        <f>IF(OR(F32="",D32=""),"",D32*Правила!$B$4+E32*Правила!$B$5+F32*Правила!$B$6)</f>
        <v/>
      </c>
      <c r="H32" s="72">
        <f>IF(G32="","нет СОЧ",IF(G32&gt;=Правила!$B$8,5,IF(G32&gt;=Правила!$B$9,4,IF(G32&gt;=Правила!$B$10,3,2))))</f>
        <v/>
      </c>
      <c r="I32" s="71">
        <f>IFERROR(INDEX('9Б Геометрия'!$S:$S,MATCH($C32,'9Б Геометрия'!$B:$B,0))/10,"")</f>
        <v/>
      </c>
      <c r="J32" s="71">
        <f>('9Б СОР-СОЧ'!I5)/('9Б СОР-СОЧ'!I$25)</f>
        <v/>
      </c>
      <c r="K32" s="71">
        <f>IF('9Б СОР-СОЧ'!K5="","",'9Б СОР-СОЧ'!K5/'9Б СОР-СОЧ'!K$25)</f>
        <v/>
      </c>
      <c r="L32" s="71">
        <f>IF(OR(K32="",I32=""),"",I32*Правила!$B$4+J32*Правила!$B$5+K32*Правила!$B$6)</f>
        <v/>
      </c>
      <c r="M32" s="72">
        <f>IF(L32="","нет СОЧ",IF(L32&gt;=Правила!$B$8,5,IF(L32&gt;=Правила!$B$9,4,IF(L32&gt;=Правила!$B$10,3,2))))</f>
        <v/>
      </c>
      <c r="N32" s="72">
        <f>IF(OR(H32="нет СОЧ",M32="нет СОЧ"),"нет СОЧ",IF(AND(H32=5,M32=5),"Отличник",IF(MIN(H32,M32)&gt;=4,"Хорошист",IF(AND(MIN(H32,M32)=3,MAX(H32,M32)&gt;=4),"Резерв (одна «3»)",""))))</f>
        <v/>
      </c>
    </row>
    <row r="33" ht="15" customHeight="1" s="57">
      <c r="A33" s="69" t="inlineStr">
        <is>
          <t>9Б</t>
        </is>
      </c>
      <c r="B33" s="69" t="n">
        <v>3</v>
      </c>
      <c r="C33" s="70">
        <f>'9Б СОР-СОЧ'!B6</f>
        <v/>
      </c>
      <c r="D33" s="71">
        <f>IFERROR(INDEX('9Б Алгебра'!$Z:$Z,MATCH($C33,'9Б Алгебра'!$B:$B,0))/10,"")</f>
        <v/>
      </c>
      <c r="E33" s="71">
        <f>('9Б СОР-СОЧ'!C6+'9Б СОР-СОЧ'!E6)/('9Б СОР-СОЧ'!C$25+'9Б СОР-СОЧ'!E$25)</f>
        <v/>
      </c>
      <c r="F33" s="71">
        <f>IF('9Б СОР-СОЧ'!G6="","",'9Б СОР-СОЧ'!G6/'9Б СОР-СОЧ'!G$25)</f>
        <v/>
      </c>
      <c r="G33" s="71">
        <f>IF(OR(F33="",D33=""),"",D33*Правила!$B$4+E33*Правила!$B$5+F33*Правила!$B$6)</f>
        <v/>
      </c>
      <c r="H33" s="72">
        <f>IF(G33="","нет СОЧ",IF(G33&gt;=Правила!$B$8,5,IF(G33&gt;=Правила!$B$9,4,IF(G33&gt;=Правила!$B$10,3,2))))</f>
        <v/>
      </c>
      <c r="I33" s="71">
        <f>IFERROR(INDEX('9Б Геометрия'!$S:$S,MATCH($C33,'9Б Геометрия'!$B:$B,0))/10,"")</f>
        <v/>
      </c>
      <c r="J33" s="71">
        <f>('9Б СОР-СОЧ'!I6)/('9Б СОР-СОЧ'!I$25)</f>
        <v/>
      </c>
      <c r="K33" s="71">
        <f>IF('9Б СОР-СОЧ'!K6="","",'9Б СОР-СОЧ'!K6/'9Б СОР-СОЧ'!K$25)</f>
        <v/>
      </c>
      <c r="L33" s="71">
        <f>IF(OR(K33="",I33=""),"",I33*Правила!$B$4+J33*Правила!$B$5+K33*Правила!$B$6)</f>
        <v/>
      </c>
      <c r="M33" s="72">
        <f>IF(L33="","нет СОЧ",IF(L33&gt;=Правила!$B$8,5,IF(L33&gt;=Правила!$B$9,4,IF(L33&gt;=Правила!$B$10,3,2))))</f>
        <v/>
      </c>
      <c r="N33" s="72">
        <f>IF(OR(H33="нет СОЧ",M33="нет СОЧ"),"нет СОЧ",IF(AND(H33=5,M33=5),"Отличник",IF(MIN(H33,M33)&gt;=4,"Хорошист",IF(AND(MIN(H33,M33)=3,MAX(H33,M33)&gt;=4),"Резерв (одна «3»)",""))))</f>
        <v/>
      </c>
    </row>
    <row r="34" ht="15" customHeight="1" s="57">
      <c r="A34" s="69" t="inlineStr">
        <is>
          <t>9Б</t>
        </is>
      </c>
      <c r="B34" s="69" t="n">
        <v>4</v>
      </c>
      <c r="C34" s="70">
        <f>'9Б СОР-СОЧ'!B7</f>
        <v/>
      </c>
      <c r="D34" s="71">
        <f>IFERROR(INDEX('9Б Алгебра'!$Z:$Z,MATCH($C34,'9Б Алгебра'!$B:$B,0))/10,"")</f>
        <v/>
      </c>
      <c r="E34" s="71">
        <f>('9Б СОР-СОЧ'!C7+'9Б СОР-СОЧ'!E7)/('9Б СОР-СОЧ'!C$25+'9Б СОР-СОЧ'!E$25)</f>
        <v/>
      </c>
      <c r="F34" s="71">
        <f>IF('9Б СОР-СОЧ'!G7="","",'9Б СОР-СОЧ'!G7/'9Б СОР-СОЧ'!G$25)</f>
        <v/>
      </c>
      <c r="G34" s="71">
        <f>IF(OR(F34="",D34=""),"",D34*Правила!$B$4+E34*Правила!$B$5+F34*Правила!$B$6)</f>
        <v/>
      </c>
      <c r="H34" s="72">
        <f>IF(G34="","нет СОЧ",IF(G34&gt;=Правила!$B$8,5,IF(G34&gt;=Правила!$B$9,4,IF(G34&gt;=Правила!$B$10,3,2))))</f>
        <v/>
      </c>
      <c r="I34" s="71">
        <f>IFERROR(INDEX('9Б Геометрия'!$S:$S,MATCH($C34,'9Б Геометрия'!$B:$B,0))/10,"")</f>
        <v/>
      </c>
      <c r="J34" s="71">
        <f>('9Б СОР-СОЧ'!I7)/('9Б СОР-СОЧ'!I$25)</f>
        <v/>
      </c>
      <c r="K34" s="71">
        <f>IF('9Б СОР-СОЧ'!K7="","",'9Б СОР-СОЧ'!K7/'9Б СОР-СОЧ'!K$25)</f>
        <v/>
      </c>
      <c r="L34" s="71">
        <f>IF(OR(K34="",I34=""),"",I34*Правила!$B$4+J34*Правила!$B$5+K34*Правила!$B$6)</f>
        <v/>
      </c>
      <c r="M34" s="72">
        <f>IF(L34="","нет СОЧ",IF(L34&gt;=Правила!$B$8,5,IF(L34&gt;=Правила!$B$9,4,IF(L34&gt;=Правила!$B$10,3,2))))</f>
        <v/>
      </c>
      <c r="N34" s="72">
        <f>IF(OR(H34="нет СОЧ",M34="нет СОЧ"),"нет СОЧ",IF(AND(H34=5,M34=5),"Отличник",IF(MIN(H34,M34)&gt;=4,"Хорошист",IF(AND(MIN(H34,M34)=3,MAX(H34,M34)&gt;=4),"Резерв (одна «3»)",""))))</f>
        <v/>
      </c>
    </row>
    <row r="35" ht="15" customHeight="1" s="57">
      <c r="A35" s="69" t="inlineStr">
        <is>
          <t>9Б</t>
        </is>
      </c>
      <c r="B35" s="69" t="n">
        <v>5</v>
      </c>
      <c r="C35" s="70">
        <f>'9Б СОР-СОЧ'!B8</f>
        <v/>
      </c>
      <c r="D35" s="71">
        <f>IFERROR(INDEX('9Б Алгебра'!$Z:$Z,MATCH($C35,'9Б Алгебра'!$B:$B,0))/10,"")</f>
        <v/>
      </c>
      <c r="E35" s="71">
        <f>('9Б СОР-СОЧ'!C8+'9Б СОР-СОЧ'!E8)/('9Б СОР-СОЧ'!C$25+'9Б СОР-СОЧ'!E$25)</f>
        <v/>
      </c>
      <c r="F35" s="71">
        <f>IF('9Б СОР-СОЧ'!G8="","",'9Б СОР-СОЧ'!G8/'9Б СОР-СОЧ'!G$25)</f>
        <v/>
      </c>
      <c r="G35" s="71">
        <f>IF(OR(F35="",D35=""),"",D35*Правила!$B$4+E35*Правила!$B$5+F35*Правила!$B$6)</f>
        <v/>
      </c>
      <c r="H35" s="72">
        <f>IF(G35="","нет СОЧ",IF(G35&gt;=Правила!$B$8,5,IF(G35&gt;=Правила!$B$9,4,IF(G35&gt;=Правила!$B$10,3,2))))</f>
        <v/>
      </c>
      <c r="I35" s="71">
        <f>IFERROR(INDEX('9Б Геометрия'!$S:$S,MATCH($C35,'9Б Геометрия'!$B:$B,0))/10,"")</f>
        <v/>
      </c>
      <c r="J35" s="71">
        <f>('9Б СОР-СОЧ'!I8)/('9Б СОР-СОЧ'!I$25)</f>
        <v/>
      </c>
      <c r="K35" s="71">
        <f>IF('9Б СОР-СОЧ'!K8="","",'9Б СОР-СОЧ'!K8/'9Б СОР-СОЧ'!K$25)</f>
        <v/>
      </c>
      <c r="L35" s="71">
        <f>IF(OR(K35="",I35=""),"",I35*Правила!$B$4+J35*Правила!$B$5+K35*Правила!$B$6)</f>
        <v/>
      </c>
      <c r="M35" s="72">
        <f>IF(L35="","нет СОЧ",IF(L35&gt;=Правила!$B$8,5,IF(L35&gt;=Правила!$B$9,4,IF(L35&gt;=Правила!$B$10,3,2))))</f>
        <v/>
      </c>
      <c r="N35" s="72">
        <f>IF(OR(H35="нет СОЧ",M35="нет СОЧ"),"нет СОЧ",IF(AND(H35=5,M35=5),"Отличник",IF(MIN(H35,M35)&gt;=4,"Хорошист",IF(AND(MIN(H35,M35)=3,MAX(H35,M35)&gt;=4),"Резерв (одна «3»)",""))))</f>
        <v/>
      </c>
    </row>
    <row r="36" ht="15" customHeight="1" s="57">
      <c r="A36" s="69" t="inlineStr">
        <is>
          <t>9Б</t>
        </is>
      </c>
      <c r="B36" s="69" t="n">
        <v>6</v>
      </c>
      <c r="C36" s="70">
        <f>'9Б СОР-СОЧ'!B9</f>
        <v/>
      </c>
      <c r="D36" s="71">
        <f>IFERROR(INDEX('9Б Алгебра'!$Z:$Z,MATCH($C36,'9Б Алгебра'!$B:$B,0))/10,"")</f>
        <v/>
      </c>
      <c r="E36" s="71">
        <f>('9Б СОР-СОЧ'!C9+'9Б СОР-СОЧ'!E9)/('9Б СОР-СОЧ'!C$25+'9Б СОР-СОЧ'!E$25)</f>
        <v/>
      </c>
      <c r="F36" s="71">
        <f>IF('9Б СОР-СОЧ'!G9="","",'9Б СОР-СОЧ'!G9/'9Б СОР-СОЧ'!G$25)</f>
        <v/>
      </c>
      <c r="G36" s="71">
        <f>IF(OR(F36="",D36=""),"",D36*Правила!$B$4+E36*Правила!$B$5+F36*Правила!$B$6)</f>
        <v/>
      </c>
      <c r="H36" s="72">
        <f>IF(G36="","нет СОЧ",IF(G36&gt;=Правила!$B$8,5,IF(G36&gt;=Правила!$B$9,4,IF(G36&gt;=Правила!$B$10,3,2))))</f>
        <v/>
      </c>
      <c r="I36" s="71">
        <f>IFERROR(INDEX('9Б Геометрия'!$S:$S,MATCH($C36,'9Б Геометрия'!$B:$B,0))/10,"")</f>
        <v/>
      </c>
      <c r="J36" s="71">
        <f>('9Б СОР-СОЧ'!I9)/('9Б СОР-СОЧ'!I$25)</f>
        <v/>
      </c>
      <c r="K36" s="71">
        <f>IF('9Б СОР-СОЧ'!K9="","",'9Б СОР-СОЧ'!K9/'9Б СОР-СОЧ'!K$25)</f>
        <v/>
      </c>
      <c r="L36" s="71">
        <f>IF(OR(K36="",I36=""),"",I36*Правила!$B$4+J36*Правила!$B$5+K36*Правила!$B$6)</f>
        <v/>
      </c>
      <c r="M36" s="72">
        <f>IF(L36="","нет СОЧ",IF(L36&gt;=Правила!$B$8,5,IF(L36&gt;=Правила!$B$9,4,IF(L36&gt;=Правила!$B$10,3,2))))</f>
        <v/>
      </c>
      <c r="N36" s="72">
        <f>IF(OR(H36="нет СОЧ",M36="нет СОЧ"),"нет СОЧ",IF(AND(H36=5,M36=5),"Отличник",IF(MIN(H36,M36)&gt;=4,"Хорошист",IF(AND(MIN(H36,M36)=3,MAX(H36,M36)&gt;=4),"Резерв (одна «3»)",""))))</f>
        <v/>
      </c>
    </row>
    <row r="37" ht="15" customHeight="1" s="57">
      <c r="A37" s="69" t="inlineStr">
        <is>
          <t>9Б</t>
        </is>
      </c>
      <c r="B37" s="69" t="n">
        <v>7</v>
      </c>
      <c r="C37" s="70">
        <f>'9Б СОР-СОЧ'!B10</f>
        <v/>
      </c>
      <c r="D37" s="71">
        <f>IFERROR(INDEX('9Б Алгебра'!$Z:$Z,MATCH($C37,'9Б Алгебра'!$B:$B,0))/10,"")</f>
        <v/>
      </c>
      <c r="E37" s="71">
        <f>('9Б СОР-СОЧ'!C10+'9Б СОР-СОЧ'!E10)/('9Б СОР-СОЧ'!C$25+'9Б СОР-СОЧ'!E$25)</f>
        <v/>
      </c>
      <c r="F37" s="71">
        <f>IF('9Б СОР-СОЧ'!G10="","",'9Б СОР-СОЧ'!G10/'9Б СОР-СОЧ'!G$25)</f>
        <v/>
      </c>
      <c r="G37" s="71">
        <f>IF(OR(F37="",D37=""),"",D37*Правила!$B$4+E37*Правила!$B$5+F37*Правила!$B$6)</f>
        <v/>
      </c>
      <c r="H37" s="72">
        <f>IF(G37="","нет СОЧ",IF(G37&gt;=Правила!$B$8,5,IF(G37&gt;=Правила!$B$9,4,IF(G37&gt;=Правила!$B$10,3,2))))</f>
        <v/>
      </c>
      <c r="I37" s="71">
        <f>IFERROR(INDEX('9Б Геометрия'!$S:$S,MATCH($C37,'9Б Геометрия'!$B:$B,0))/10,"")</f>
        <v/>
      </c>
      <c r="J37" s="71">
        <f>('9Б СОР-СОЧ'!I10)/('9Б СОР-СОЧ'!I$25)</f>
        <v/>
      </c>
      <c r="K37" s="71">
        <f>IF('9Б СОР-СОЧ'!K10="","",'9Б СОР-СОЧ'!K10/'9Б СОР-СОЧ'!K$25)</f>
        <v/>
      </c>
      <c r="L37" s="71">
        <f>IF(OR(K37="",I37=""),"",I37*Правила!$B$4+J37*Правила!$B$5+K37*Правила!$B$6)</f>
        <v/>
      </c>
      <c r="M37" s="72">
        <f>IF(L37="","нет СОЧ",IF(L37&gt;=Правила!$B$8,5,IF(L37&gt;=Правила!$B$9,4,IF(L37&gt;=Правила!$B$10,3,2))))</f>
        <v/>
      </c>
      <c r="N37" s="72">
        <f>IF(OR(H37="нет СОЧ",M37="нет СОЧ"),"нет СОЧ",IF(AND(H37=5,M37=5),"Отличник",IF(MIN(H37,M37)&gt;=4,"Хорошист",IF(AND(MIN(H37,M37)=3,MAX(H37,M37)&gt;=4),"Резерв (одна «3»)",""))))</f>
        <v/>
      </c>
    </row>
    <row r="38" ht="15" customHeight="1" s="57">
      <c r="A38" s="69" t="inlineStr">
        <is>
          <t>9Б</t>
        </is>
      </c>
      <c r="B38" s="69" t="n">
        <v>8</v>
      </c>
      <c r="C38" s="70">
        <f>'9Б СОР-СОЧ'!B11</f>
        <v/>
      </c>
      <c r="D38" s="71">
        <f>IFERROR(INDEX('9Б Алгебра'!$Z:$Z,MATCH($C38,'9Б Алгебра'!$B:$B,0))/10,"")</f>
        <v/>
      </c>
      <c r="E38" s="71">
        <f>('9Б СОР-СОЧ'!C11+'9Б СОР-СОЧ'!E11)/('9Б СОР-СОЧ'!C$25+'9Б СОР-СОЧ'!E$25)</f>
        <v/>
      </c>
      <c r="F38" s="71">
        <f>IF('9Б СОР-СОЧ'!G11="","",'9Б СОР-СОЧ'!G11/'9Б СОР-СОЧ'!G$25)</f>
        <v/>
      </c>
      <c r="G38" s="71">
        <f>IF(OR(F38="",D38=""),"",D38*Правила!$B$4+E38*Правила!$B$5+F38*Правила!$B$6)</f>
        <v/>
      </c>
      <c r="H38" s="72">
        <f>IF(G38="","нет СОЧ",IF(G38&gt;=Правила!$B$8,5,IF(G38&gt;=Правила!$B$9,4,IF(G38&gt;=Правила!$B$10,3,2))))</f>
        <v/>
      </c>
      <c r="I38" s="71">
        <f>IFERROR(INDEX('9Б Геометрия'!$S:$S,MATCH($C38,'9Б Геометрия'!$B:$B,0))/10,"")</f>
        <v/>
      </c>
      <c r="J38" s="71">
        <f>('9Б СОР-СОЧ'!I11)/('9Б СОР-СОЧ'!I$25)</f>
        <v/>
      </c>
      <c r="K38" s="71">
        <f>IF('9Б СОР-СОЧ'!K11="","",'9Б СОР-СОЧ'!K11/'9Б СОР-СОЧ'!K$25)</f>
        <v/>
      </c>
      <c r="L38" s="71">
        <f>IF(OR(K38="",I38=""),"",I38*Правила!$B$4+J38*Правила!$B$5+K38*Правила!$B$6)</f>
        <v/>
      </c>
      <c r="M38" s="72">
        <f>IF(L38="","нет СОЧ",IF(L38&gt;=Правила!$B$8,5,IF(L38&gt;=Правила!$B$9,4,IF(L38&gt;=Правила!$B$10,3,2))))</f>
        <v/>
      </c>
      <c r="N38" s="72">
        <f>IF(OR(H38="нет СОЧ",M38="нет СОЧ"),"нет СОЧ",IF(AND(H38=5,M38=5),"Отличник",IF(MIN(H38,M38)&gt;=4,"Хорошист",IF(AND(MIN(H38,M38)=3,MAX(H38,M38)&gt;=4),"Резерв (одна «3»)",""))))</f>
        <v/>
      </c>
    </row>
    <row r="39" ht="15" customHeight="1" s="57">
      <c r="A39" s="69" t="inlineStr">
        <is>
          <t>9Б</t>
        </is>
      </c>
      <c r="B39" s="69" t="n">
        <v>9</v>
      </c>
      <c r="C39" s="70">
        <f>'9Б СОР-СОЧ'!B12</f>
        <v/>
      </c>
      <c r="D39" s="71">
        <f>IFERROR(INDEX('9Б Алгебра'!$Z:$Z,MATCH($C39,'9Б Алгебра'!$B:$B,0))/10,"")</f>
        <v/>
      </c>
      <c r="E39" s="71">
        <f>('9Б СОР-СОЧ'!C12+'9Б СОР-СОЧ'!E12)/('9Б СОР-СОЧ'!C$25+'9Б СОР-СОЧ'!E$25)</f>
        <v/>
      </c>
      <c r="F39" s="71">
        <f>IF('9Б СОР-СОЧ'!G12="","",'9Б СОР-СОЧ'!G12/'9Б СОР-СОЧ'!G$25)</f>
        <v/>
      </c>
      <c r="G39" s="71">
        <f>IF(OR(F39="",D39=""),"",D39*Правила!$B$4+E39*Правила!$B$5+F39*Правила!$B$6)</f>
        <v/>
      </c>
      <c r="H39" s="72">
        <f>IF(G39="","нет СОЧ",IF(G39&gt;=Правила!$B$8,5,IF(G39&gt;=Правила!$B$9,4,IF(G39&gt;=Правила!$B$10,3,2))))</f>
        <v/>
      </c>
      <c r="I39" s="71">
        <f>IFERROR(INDEX('9Б Геометрия'!$S:$S,MATCH($C39,'9Б Геометрия'!$B:$B,0))/10,"")</f>
        <v/>
      </c>
      <c r="J39" s="71">
        <f>('9Б СОР-СОЧ'!I12)/('9Б СОР-СОЧ'!I$25)</f>
        <v/>
      </c>
      <c r="K39" s="71">
        <f>IF('9Б СОР-СОЧ'!K12="","",'9Б СОР-СОЧ'!K12/'9Б СОР-СОЧ'!K$25)</f>
        <v/>
      </c>
      <c r="L39" s="71">
        <f>IF(OR(K39="",I39=""),"",I39*Правила!$B$4+J39*Правила!$B$5+K39*Правила!$B$6)</f>
        <v/>
      </c>
      <c r="M39" s="72">
        <f>IF(L39="","нет СОЧ",IF(L39&gt;=Правила!$B$8,5,IF(L39&gt;=Правила!$B$9,4,IF(L39&gt;=Правила!$B$10,3,2))))</f>
        <v/>
      </c>
      <c r="N39" s="72">
        <f>IF(OR(H39="нет СОЧ",M39="нет СОЧ"),"нет СОЧ",IF(AND(H39=5,M39=5),"Отличник",IF(MIN(H39,M39)&gt;=4,"Хорошист",IF(AND(MIN(H39,M39)=3,MAX(H39,M39)&gt;=4),"Резерв (одна «3»)",""))))</f>
        <v/>
      </c>
    </row>
    <row r="40" ht="15" customHeight="1" s="57">
      <c r="A40" s="69" t="inlineStr">
        <is>
          <t>9Б</t>
        </is>
      </c>
      <c r="B40" s="69" t="n">
        <v>10</v>
      </c>
      <c r="C40" s="70">
        <f>'9Б СОР-СОЧ'!B13</f>
        <v/>
      </c>
      <c r="D40" s="71">
        <f>IFERROR(INDEX('9Б Алгебра'!$Z:$Z,MATCH($C40,'9Б Алгебра'!$B:$B,0))/10,"")</f>
        <v/>
      </c>
      <c r="E40" s="71">
        <f>('9Б СОР-СОЧ'!C13+'9Б СОР-СОЧ'!E13)/('9Б СОР-СОЧ'!C$25+'9Б СОР-СОЧ'!E$25)</f>
        <v/>
      </c>
      <c r="F40" s="71">
        <f>IF('9Б СОР-СОЧ'!G13="","",'9Б СОР-СОЧ'!G13/'9Б СОР-СОЧ'!G$25)</f>
        <v/>
      </c>
      <c r="G40" s="71">
        <f>IF(OR(F40="",D40=""),"",D40*Правила!$B$4+E40*Правила!$B$5+F40*Правила!$B$6)</f>
        <v/>
      </c>
      <c r="H40" s="72">
        <f>IF(G40="","нет СОЧ",IF(G40&gt;=Правила!$B$8,5,IF(G40&gt;=Правила!$B$9,4,IF(G40&gt;=Правила!$B$10,3,2))))</f>
        <v/>
      </c>
      <c r="I40" s="71">
        <f>IFERROR(INDEX('9Б Геометрия'!$S:$S,MATCH($C40,'9Б Геометрия'!$B:$B,0))/10,"")</f>
        <v/>
      </c>
      <c r="J40" s="71">
        <f>('9Б СОР-СОЧ'!I13)/('9Б СОР-СОЧ'!I$25)</f>
        <v/>
      </c>
      <c r="K40" s="71">
        <f>IF('9Б СОР-СОЧ'!K13="","",'9Б СОР-СОЧ'!K13/'9Б СОР-СОЧ'!K$25)</f>
        <v/>
      </c>
      <c r="L40" s="71">
        <f>IF(OR(K40="",I40=""),"",I40*Правила!$B$4+J40*Правила!$B$5+K40*Правила!$B$6)</f>
        <v/>
      </c>
      <c r="M40" s="72">
        <f>IF(L40="","нет СОЧ",IF(L40&gt;=Правила!$B$8,5,IF(L40&gt;=Правила!$B$9,4,IF(L40&gt;=Правила!$B$10,3,2))))</f>
        <v/>
      </c>
      <c r="N40" s="72">
        <f>IF(OR(H40="нет СОЧ",M40="нет СОЧ"),"нет СОЧ",IF(AND(H40=5,M40=5),"Отличник",IF(MIN(H40,M40)&gt;=4,"Хорошист",IF(AND(MIN(H40,M40)=3,MAX(H40,M40)&gt;=4),"Резерв (одна «3»)",""))))</f>
        <v/>
      </c>
    </row>
    <row r="41" ht="15" customHeight="1" s="57">
      <c r="A41" s="69" t="inlineStr">
        <is>
          <t>9Б</t>
        </is>
      </c>
      <c r="B41" s="69" t="n">
        <v>11</v>
      </c>
      <c r="C41" s="70">
        <f>'9Б СОР-СОЧ'!B14</f>
        <v/>
      </c>
      <c r="D41" s="71">
        <f>IFERROR(INDEX('9Б Алгебра'!$Z:$Z,MATCH($C41,'9Б Алгебра'!$B:$B,0))/10,"")</f>
        <v/>
      </c>
      <c r="E41" s="71">
        <f>('9Б СОР-СОЧ'!C14+'9Б СОР-СОЧ'!E14)/('9Б СОР-СОЧ'!C$25+'9Б СОР-СОЧ'!E$25)</f>
        <v/>
      </c>
      <c r="F41" s="71">
        <f>IF('9Б СОР-СОЧ'!G14="","",'9Б СОР-СОЧ'!G14/'9Б СОР-СОЧ'!G$25)</f>
        <v/>
      </c>
      <c r="G41" s="71">
        <f>IF(OR(F41="",D41=""),"",D41*Правила!$B$4+E41*Правила!$B$5+F41*Правила!$B$6)</f>
        <v/>
      </c>
      <c r="H41" s="72">
        <f>IF(G41="","нет СОЧ",IF(G41&gt;=Правила!$B$8,5,IF(G41&gt;=Правила!$B$9,4,IF(G41&gt;=Правила!$B$10,3,2))))</f>
        <v/>
      </c>
      <c r="I41" s="71">
        <f>IFERROR(INDEX('9Б Геометрия'!$S:$S,MATCH($C41,'9Б Геометрия'!$B:$B,0))/10,"")</f>
        <v/>
      </c>
      <c r="J41" s="71">
        <f>('9Б СОР-СОЧ'!I14)/('9Б СОР-СОЧ'!I$25)</f>
        <v/>
      </c>
      <c r="K41" s="71">
        <f>IF('9Б СОР-СОЧ'!K14="","",'9Б СОР-СОЧ'!K14/'9Б СОР-СОЧ'!K$25)</f>
        <v/>
      </c>
      <c r="L41" s="71">
        <f>IF(OR(K41="",I41=""),"",I41*Правила!$B$4+J41*Правила!$B$5+K41*Правила!$B$6)</f>
        <v/>
      </c>
      <c r="M41" s="72">
        <f>IF(L41="","нет СОЧ",IF(L41&gt;=Правила!$B$8,5,IF(L41&gt;=Правила!$B$9,4,IF(L41&gt;=Правила!$B$10,3,2))))</f>
        <v/>
      </c>
      <c r="N41" s="72">
        <f>IF(OR(H41="нет СОЧ",M41="нет СОЧ"),"нет СОЧ",IF(AND(H41=5,M41=5),"Отличник",IF(MIN(H41,M41)&gt;=4,"Хорошист",IF(AND(MIN(H41,M41)=3,MAX(H41,M41)&gt;=4),"Резерв (одна «3»)",""))))</f>
        <v/>
      </c>
    </row>
    <row r="42" ht="15" customHeight="1" s="57">
      <c r="A42" s="69" t="inlineStr">
        <is>
          <t>9Б</t>
        </is>
      </c>
      <c r="B42" s="69" t="n">
        <v>12</v>
      </c>
      <c r="C42" s="70">
        <f>'9Б СОР-СОЧ'!B15</f>
        <v/>
      </c>
      <c r="D42" s="71">
        <f>IFERROR(INDEX('9Б Алгебра'!$Z:$Z,MATCH($C42,'9Б Алгебра'!$B:$B,0))/10,"")</f>
        <v/>
      </c>
      <c r="E42" s="71">
        <f>('9Б СОР-СОЧ'!C15+'9Б СОР-СОЧ'!E15)/('9Б СОР-СОЧ'!C$25+'9Б СОР-СОЧ'!E$25)</f>
        <v/>
      </c>
      <c r="F42" s="71">
        <f>IF('9Б СОР-СОЧ'!G15="","",'9Б СОР-СОЧ'!G15/'9Б СОР-СОЧ'!G$25)</f>
        <v/>
      </c>
      <c r="G42" s="71">
        <f>IF(OR(F42="",D42=""),"",D42*Правила!$B$4+E42*Правила!$B$5+F42*Правила!$B$6)</f>
        <v/>
      </c>
      <c r="H42" s="72">
        <f>IF(G42="","нет СОЧ",IF(G42&gt;=Правила!$B$8,5,IF(G42&gt;=Правила!$B$9,4,IF(G42&gt;=Правила!$B$10,3,2))))</f>
        <v/>
      </c>
      <c r="I42" s="71">
        <f>IFERROR(INDEX('9Б Геометрия'!$S:$S,MATCH($C42,'9Б Геометрия'!$B:$B,0))/10,"")</f>
        <v/>
      </c>
      <c r="J42" s="71">
        <f>('9Б СОР-СОЧ'!I15)/('9Б СОР-СОЧ'!I$25)</f>
        <v/>
      </c>
      <c r="K42" s="71">
        <f>IF('9Б СОР-СОЧ'!K15="","",'9Б СОР-СОЧ'!K15/'9Б СОР-СОЧ'!K$25)</f>
        <v/>
      </c>
      <c r="L42" s="71">
        <f>IF(OR(K42="",I42=""),"",I42*Правила!$B$4+J42*Правила!$B$5+K42*Правила!$B$6)</f>
        <v/>
      </c>
      <c r="M42" s="72">
        <f>IF(L42="","нет СОЧ",IF(L42&gt;=Правила!$B$8,5,IF(L42&gt;=Правила!$B$9,4,IF(L42&gt;=Правила!$B$10,3,2))))</f>
        <v/>
      </c>
      <c r="N42" s="72">
        <f>IF(OR(H42="нет СОЧ",M42="нет СОЧ"),"нет СОЧ",IF(AND(H42=5,M42=5),"Отличник",IF(MIN(H42,M42)&gt;=4,"Хорошист",IF(AND(MIN(H42,M42)=3,MAX(H42,M42)&gt;=4),"Резерв (одна «3»)",""))))</f>
        <v/>
      </c>
    </row>
    <row r="43" ht="15" customHeight="1" s="57">
      <c r="A43" s="69" t="inlineStr">
        <is>
          <t>9Б</t>
        </is>
      </c>
      <c r="B43" s="69" t="n">
        <v>13</v>
      </c>
      <c r="C43" s="70">
        <f>'9Б СОР-СОЧ'!B16</f>
        <v/>
      </c>
      <c r="D43" s="71">
        <f>IFERROR(INDEX('9Б Алгебра'!$Z:$Z,MATCH($C43,'9Б Алгебра'!$B:$B,0))/10,"")</f>
        <v/>
      </c>
      <c r="E43" s="71">
        <f>('9Б СОР-СОЧ'!C16+'9Б СОР-СОЧ'!E16)/('9Б СОР-СОЧ'!C$25+'9Б СОР-СОЧ'!E$25)</f>
        <v/>
      </c>
      <c r="F43" s="71">
        <f>IF('9Б СОР-СОЧ'!G16="","",'9Б СОР-СОЧ'!G16/'9Б СОР-СОЧ'!G$25)</f>
        <v/>
      </c>
      <c r="G43" s="71">
        <f>IF(OR(F43="",D43=""),"",D43*Правила!$B$4+E43*Правила!$B$5+F43*Правила!$B$6)</f>
        <v/>
      </c>
      <c r="H43" s="72">
        <f>IF(G43="","нет СОЧ",IF(G43&gt;=Правила!$B$8,5,IF(G43&gt;=Правила!$B$9,4,IF(G43&gt;=Правила!$B$10,3,2))))</f>
        <v/>
      </c>
      <c r="I43" s="71">
        <f>IFERROR(INDEX('9Б Геометрия'!$S:$S,MATCH($C43,'9Б Геометрия'!$B:$B,0))/10,"")</f>
        <v/>
      </c>
      <c r="J43" s="71">
        <f>('9Б СОР-СОЧ'!I16)/('9Б СОР-СОЧ'!I$25)</f>
        <v/>
      </c>
      <c r="K43" s="71">
        <f>IF('9Б СОР-СОЧ'!K16="","",'9Б СОР-СОЧ'!K16/'9Б СОР-СОЧ'!K$25)</f>
        <v/>
      </c>
      <c r="L43" s="71">
        <f>IF(OR(K43="",I43=""),"",I43*Правила!$B$4+J43*Правила!$B$5+K43*Правила!$B$6)</f>
        <v/>
      </c>
      <c r="M43" s="72">
        <f>IF(L43="","нет СОЧ",IF(L43&gt;=Правила!$B$8,5,IF(L43&gt;=Правила!$B$9,4,IF(L43&gt;=Правила!$B$10,3,2))))</f>
        <v/>
      </c>
      <c r="N43" s="72">
        <f>IF(OR(H43="нет СОЧ",M43="нет СОЧ"),"нет СОЧ",IF(AND(H43=5,M43=5),"Отличник",IF(MIN(H43,M43)&gt;=4,"Хорошист",IF(AND(MIN(H43,M43)=3,MAX(H43,M43)&gt;=4),"Резерв (одна «3»)",""))))</f>
        <v/>
      </c>
    </row>
    <row r="44" ht="15" customHeight="1" s="57">
      <c r="A44" s="69" t="inlineStr">
        <is>
          <t>9Б</t>
        </is>
      </c>
      <c r="B44" s="69" t="n">
        <v>14</v>
      </c>
      <c r="C44" s="70">
        <f>'9Б СОР-СОЧ'!B17</f>
        <v/>
      </c>
      <c r="D44" s="71">
        <f>IFERROR(INDEX('9Б Алгебра'!$Z:$Z,MATCH($C44,'9Б Алгебра'!$B:$B,0))/10,"")</f>
        <v/>
      </c>
      <c r="E44" s="71">
        <f>('9Б СОР-СОЧ'!C17+'9Б СОР-СОЧ'!E17)/('9Б СОР-СОЧ'!C$25+'9Б СОР-СОЧ'!E$25)</f>
        <v/>
      </c>
      <c r="F44" s="71">
        <f>IF('9Б СОР-СОЧ'!G17="","",'9Б СОР-СОЧ'!G17/'9Б СОР-СОЧ'!G$25)</f>
        <v/>
      </c>
      <c r="G44" s="71">
        <f>IF(OR(F44="",D44=""),"",D44*Правила!$B$4+E44*Правила!$B$5+F44*Правила!$B$6)</f>
        <v/>
      </c>
      <c r="H44" s="72">
        <f>IF(G44="","нет СОЧ",IF(G44&gt;=Правила!$B$8,5,IF(G44&gt;=Правила!$B$9,4,IF(G44&gt;=Правила!$B$10,3,2))))</f>
        <v/>
      </c>
      <c r="I44" s="71">
        <f>IFERROR(INDEX('9Б Геометрия'!$S:$S,MATCH($C44,'9Б Геометрия'!$B:$B,0))/10,"")</f>
        <v/>
      </c>
      <c r="J44" s="71">
        <f>('9Б СОР-СОЧ'!I17)/('9Б СОР-СОЧ'!I$25)</f>
        <v/>
      </c>
      <c r="K44" s="71">
        <f>IF('9Б СОР-СОЧ'!K17="","",'9Б СОР-СОЧ'!K17/'9Б СОР-СОЧ'!K$25)</f>
        <v/>
      </c>
      <c r="L44" s="71">
        <f>IF(OR(K44="",I44=""),"",I44*Правила!$B$4+J44*Правила!$B$5+K44*Правила!$B$6)</f>
        <v/>
      </c>
      <c r="M44" s="72">
        <f>IF(L44="","нет СОЧ",IF(L44&gt;=Правила!$B$8,5,IF(L44&gt;=Правила!$B$9,4,IF(L44&gt;=Правила!$B$10,3,2))))</f>
        <v/>
      </c>
      <c r="N44" s="72">
        <f>IF(OR(H44="нет СОЧ",M44="нет СОЧ"),"нет СОЧ",IF(AND(H44=5,M44=5),"Отличник",IF(MIN(H44,M44)&gt;=4,"Хорошист",IF(AND(MIN(H44,M44)=3,MAX(H44,M44)&gt;=4),"Резерв (одна «3»)",""))))</f>
        <v/>
      </c>
    </row>
    <row r="45" ht="15" customHeight="1" s="57">
      <c r="A45" s="69" t="inlineStr">
        <is>
          <t>9Б</t>
        </is>
      </c>
      <c r="B45" s="69" t="n">
        <v>15</v>
      </c>
      <c r="C45" s="70">
        <f>'9Б СОР-СОЧ'!B18</f>
        <v/>
      </c>
      <c r="D45" s="71">
        <f>IFERROR(INDEX('9Б Алгебра'!$Z:$Z,MATCH($C45,'9Б Алгебра'!$B:$B,0))/10,"")</f>
        <v/>
      </c>
      <c r="E45" s="71">
        <f>('9Б СОР-СОЧ'!C18+'9Б СОР-СОЧ'!E18)/('9Б СОР-СОЧ'!C$25+'9Б СОР-СОЧ'!E$25)</f>
        <v/>
      </c>
      <c r="F45" s="71">
        <f>IF('9Б СОР-СОЧ'!G18="","",'9Б СОР-СОЧ'!G18/'9Б СОР-СОЧ'!G$25)</f>
        <v/>
      </c>
      <c r="G45" s="71">
        <f>IF(OR(F45="",D45=""),"",D45*Правила!$B$4+E45*Правила!$B$5+F45*Правила!$B$6)</f>
        <v/>
      </c>
      <c r="H45" s="72">
        <f>IF(G45="","нет СОЧ",IF(G45&gt;=Правила!$B$8,5,IF(G45&gt;=Правила!$B$9,4,IF(G45&gt;=Правила!$B$10,3,2))))</f>
        <v/>
      </c>
      <c r="I45" s="71">
        <f>IFERROR(INDEX('9Б Геометрия'!$S:$S,MATCH($C45,'9Б Геометрия'!$B:$B,0))/10,"")</f>
        <v/>
      </c>
      <c r="J45" s="71">
        <f>('9Б СОР-СОЧ'!I18)/('9Б СОР-СОЧ'!I$25)</f>
        <v/>
      </c>
      <c r="K45" s="71">
        <f>IF('9Б СОР-СОЧ'!K18="","",'9Б СОР-СОЧ'!K18/'9Б СОР-СОЧ'!K$25)</f>
        <v/>
      </c>
      <c r="L45" s="71">
        <f>IF(OR(K45="",I45=""),"",I45*Правила!$B$4+J45*Правила!$B$5+K45*Правила!$B$6)</f>
        <v/>
      </c>
      <c r="M45" s="72">
        <f>IF(L45="","нет СОЧ",IF(L45&gt;=Правила!$B$8,5,IF(L45&gt;=Правила!$B$9,4,IF(L45&gt;=Правила!$B$10,3,2))))</f>
        <v/>
      </c>
      <c r="N45" s="72">
        <f>IF(OR(H45="нет СОЧ",M45="нет СОЧ"),"нет СОЧ",IF(AND(H45=5,M45=5),"Отличник",IF(MIN(H45,M45)&gt;=4,"Хорошист",IF(AND(MIN(H45,M45)=3,MAX(H45,M45)&gt;=4),"Резерв (одна «3»)",""))))</f>
        <v/>
      </c>
    </row>
    <row r="46" ht="15" customHeight="1" s="57">
      <c r="A46" s="69" t="inlineStr">
        <is>
          <t>9Б</t>
        </is>
      </c>
      <c r="B46" s="69" t="n">
        <v>16</v>
      </c>
      <c r="C46" s="70">
        <f>'9Б СОР-СОЧ'!B19</f>
        <v/>
      </c>
      <c r="D46" s="71">
        <f>IFERROR(INDEX('9Б Алгебра'!$Z:$Z,MATCH($C46,'9Б Алгебра'!$B:$B,0))/10,"")</f>
        <v/>
      </c>
      <c r="E46" s="71">
        <f>('9Б СОР-СОЧ'!C19+'9Б СОР-СОЧ'!E19)/('9Б СОР-СОЧ'!C$25+'9Б СОР-СОЧ'!E$25)</f>
        <v/>
      </c>
      <c r="F46" s="71">
        <f>IF('9Б СОР-СОЧ'!G19="","",'9Б СОР-СОЧ'!G19/'9Б СОР-СОЧ'!G$25)</f>
        <v/>
      </c>
      <c r="G46" s="71">
        <f>IF(OR(F46="",D46=""),"",D46*Правила!$B$4+E46*Правила!$B$5+F46*Правила!$B$6)</f>
        <v/>
      </c>
      <c r="H46" s="72">
        <f>IF(G46="","нет СОЧ",IF(G46&gt;=Правила!$B$8,5,IF(G46&gt;=Правила!$B$9,4,IF(G46&gt;=Правила!$B$10,3,2))))</f>
        <v/>
      </c>
      <c r="I46" s="71">
        <f>IFERROR(INDEX('9Б Геометрия'!$S:$S,MATCH($C46,'9Б Геометрия'!$B:$B,0))/10,"")</f>
        <v/>
      </c>
      <c r="J46" s="71">
        <f>('9Б СОР-СОЧ'!I19)/('9Б СОР-СОЧ'!I$25)</f>
        <v/>
      </c>
      <c r="K46" s="71">
        <f>IF('9Б СОР-СОЧ'!K19="","",'9Б СОР-СОЧ'!K19/'9Б СОР-СОЧ'!K$25)</f>
        <v/>
      </c>
      <c r="L46" s="71">
        <f>IF(OR(K46="",I46=""),"",I46*Правила!$B$4+J46*Правила!$B$5+K46*Правила!$B$6)</f>
        <v/>
      </c>
      <c r="M46" s="72">
        <f>IF(L46="","нет СОЧ",IF(L46&gt;=Правила!$B$8,5,IF(L46&gt;=Правила!$B$9,4,IF(L46&gt;=Правила!$B$10,3,2))))</f>
        <v/>
      </c>
      <c r="N46" s="72">
        <f>IF(OR(H46="нет СОЧ",M46="нет СОЧ"),"нет СОЧ",IF(AND(H46=5,M46=5),"Отличник",IF(MIN(H46,M46)&gt;=4,"Хорошист",IF(AND(MIN(H46,M46)=3,MAX(H46,M46)&gt;=4),"Резерв (одна «3»)",""))))</f>
        <v/>
      </c>
    </row>
    <row r="47" ht="15" customHeight="1" s="57">
      <c r="A47" s="69" t="inlineStr">
        <is>
          <t>9Б</t>
        </is>
      </c>
      <c r="B47" s="69" t="n">
        <v>17</v>
      </c>
      <c r="C47" s="70">
        <f>'9Б СОР-СОЧ'!B20</f>
        <v/>
      </c>
      <c r="D47" s="71">
        <f>IFERROR(INDEX('9Б Алгебра'!$Z:$Z,MATCH($C47,'9Б Алгебра'!$B:$B,0))/10,"")</f>
        <v/>
      </c>
      <c r="E47" s="71">
        <f>('9Б СОР-СОЧ'!C20+'9Б СОР-СОЧ'!E20)/('9Б СОР-СОЧ'!C$25+'9Б СОР-СОЧ'!E$25)</f>
        <v/>
      </c>
      <c r="F47" s="71">
        <f>IF('9Б СОР-СОЧ'!G20="","",'9Б СОР-СОЧ'!G20/'9Б СОР-СОЧ'!G$25)</f>
        <v/>
      </c>
      <c r="G47" s="71">
        <f>IF(OR(F47="",D47=""),"",D47*Правила!$B$4+E47*Правила!$B$5+F47*Правила!$B$6)</f>
        <v/>
      </c>
      <c r="H47" s="72">
        <f>IF(G47="","нет СОЧ",IF(G47&gt;=Правила!$B$8,5,IF(G47&gt;=Правила!$B$9,4,IF(G47&gt;=Правила!$B$10,3,2))))</f>
        <v/>
      </c>
      <c r="I47" s="71">
        <f>IFERROR(INDEX('9Б Геометрия'!$S:$S,MATCH($C47,'9Б Геометрия'!$B:$B,0))/10,"")</f>
        <v/>
      </c>
      <c r="J47" s="71">
        <f>('9Б СОР-СОЧ'!I20)/('9Б СОР-СОЧ'!I$25)</f>
        <v/>
      </c>
      <c r="K47" s="71">
        <f>IF('9Б СОР-СОЧ'!K20="","",'9Б СОР-СОЧ'!K20/'9Б СОР-СОЧ'!K$25)</f>
        <v/>
      </c>
      <c r="L47" s="71">
        <f>IF(OR(K47="",I47=""),"",I47*Правила!$B$4+J47*Правила!$B$5+K47*Правила!$B$6)</f>
        <v/>
      </c>
      <c r="M47" s="72">
        <f>IF(L47="","нет СОЧ",IF(L47&gt;=Правила!$B$8,5,IF(L47&gt;=Правила!$B$9,4,IF(L47&gt;=Правила!$B$10,3,2))))</f>
        <v/>
      </c>
      <c r="N47" s="72">
        <f>IF(OR(H47="нет СОЧ",M47="нет СОЧ"),"нет СОЧ",IF(AND(H47=5,M47=5),"Отличник",IF(MIN(H47,M47)&gt;=4,"Хорошист",IF(AND(MIN(H47,M47)=3,MAX(H47,M47)&gt;=4),"Резерв (одна «3»)",""))))</f>
        <v/>
      </c>
    </row>
    <row r="48" ht="15" customHeight="1" s="57">
      <c r="A48" s="69" t="inlineStr">
        <is>
          <t>9Б</t>
        </is>
      </c>
      <c r="B48" s="69" t="n">
        <v>18</v>
      </c>
      <c r="C48" s="70">
        <f>'9Б СОР-СОЧ'!B21</f>
        <v/>
      </c>
      <c r="D48" s="71">
        <f>IFERROR(INDEX('9Б Алгебра'!$Z:$Z,MATCH($C48,'9Б Алгебра'!$B:$B,0))/10,"")</f>
        <v/>
      </c>
      <c r="E48" s="71">
        <f>('9Б СОР-СОЧ'!C21+'9Б СОР-СОЧ'!E21)/('9Б СОР-СОЧ'!C$25+'9Б СОР-СОЧ'!E$25)</f>
        <v/>
      </c>
      <c r="F48" s="71">
        <f>IF('9Б СОР-СОЧ'!G21="","",'9Б СОР-СОЧ'!G21/'9Б СОР-СОЧ'!G$25)</f>
        <v/>
      </c>
      <c r="G48" s="71">
        <f>IF(OR(F48="",D48=""),"",D48*Правила!$B$4+E48*Правила!$B$5+F48*Правила!$B$6)</f>
        <v/>
      </c>
      <c r="H48" s="72">
        <f>IF(G48="","нет СОЧ",IF(G48&gt;=Правила!$B$8,5,IF(G48&gt;=Правила!$B$9,4,IF(G48&gt;=Правила!$B$10,3,2))))</f>
        <v/>
      </c>
      <c r="I48" s="71">
        <f>IFERROR(INDEX('9Б Геометрия'!$S:$S,MATCH($C48,'9Б Геометрия'!$B:$B,0))/10,"")</f>
        <v/>
      </c>
      <c r="J48" s="71">
        <f>('9Б СОР-СОЧ'!I21)/('9Б СОР-СОЧ'!I$25)</f>
        <v/>
      </c>
      <c r="K48" s="71">
        <f>IF('9Б СОР-СОЧ'!K21="","",'9Б СОР-СОЧ'!K21/'9Б СОР-СОЧ'!K$25)</f>
        <v/>
      </c>
      <c r="L48" s="71">
        <f>IF(OR(K48="",I48=""),"",I48*Правила!$B$4+J48*Правила!$B$5+K48*Правила!$B$6)</f>
        <v/>
      </c>
      <c r="M48" s="72">
        <f>IF(L48="","нет СОЧ",IF(L48&gt;=Правила!$B$8,5,IF(L48&gt;=Правила!$B$9,4,IF(L48&gt;=Правила!$B$10,3,2))))</f>
        <v/>
      </c>
      <c r="N48" s="72">
        <f>IF(OR(H48="нет СОЧ",M48="нет СОЧ"),"нет СОЧ",IF(AND(H48=5,M48=5),"Отличник",IF(MIN(H48,M48)&gt;=4,"Хорошист",IF(AND(MIN(H48,M48)=3,MAX(H48,M48)&gt;=4),"Резерв (одна «3»)",""))))</f>
        <v/>
      </c>
    </row>
    <row r="49" ht="15" customHeight="1" s="57">
      <c r="A49" s="69" t="inlineStr">
        <is>
          <t>9Б</t>
        </is>
      </c>
      <c r="B49" s="69" t="n">
        <v>19</v>
      </c>
      <c r="C49" s="70">
        <f>'9Б СОР-СОЧ'!B22</f>
        <v/>
      </c>
      <c r="D49" s="71">
        <f>IFERROR(INDEX('9Б Алгебра'!$Z:$Z,MATCH($C49,'9Б Алгебра'!$B:$B,0))/10,"")</f>
        <v/>
      </c>
      <c r="E49" s="71">
        <f>('9Б СОР-СОЧ'!C22+'9Б СОР-СОЧ'!E22)/('9Б СОР-СОЧ'!C$25+'9Б СОР-СОЧ'!E$25)</f>
        <v/>
      </c>
      <c r="F49" s="71">
        <f>IF('9Б СОР-СОЧ'!G22="","",'9Б СОР-СОЧ'!G22/'9Б СОР-СОЧ'!G$25)</f>
        <v/>
      </c>
      <c r="G49" s="71">
        <f>IF(OR(F49="",D49=""),"",D49*Правила!$B$4+E49*Правила!$B$5+F49*Правила!$B$6)</f>
        <v/>
      </c>
      <c r="H49" s="72">
        <f>IF(G49="","нет СОЧ",IF(G49&gt;=Правила!$B$8,5,IF(G49&gt;=Правила!$B$9,4,IF(G49&gt;=Правила!$B$10,3,2))))</f>
        <v/>
      </c>
      <c r="I49" s="71">
        <f>IFERROR(INDEX('9Б Геометрия'!$S:$S,MATCH($C49,'9Б Геометрия'!$B:$B,0))/10,"")</f>
        <v/>
      </c>
      <c r="J49" s="71">
        <f>('9Б СОР-СОЧ'!I22)/('9Б СОР-СОЧ'!I$25)</f>
        <v/>
      </c>
      <c r="K49" s="71">
        <f>IF('9Б СОР-СОЧ'!K22="","",'9Б СОР-СОЧ'!K22/'9Б СОР-СОЧ'!K$25)</f>
        <v/>
      </c>
      <c r="L49" s="71">
        <f>IF(OR(K49="",I49=""),"",I49*Правила!$B$4+J49*Правила!$B$5+K49*Правила!$B$6)</f>
        <v/>
      </c>
      <c r="M49" s="72">
        <f>IF(L49="","нет СОЧ",IF(L49&gt;=Правила!$B$8,5,IF(L49&gt;=Правила!$B$9,4,IF(L49&gt;=Правила!$B$10,3,2))))</f>
        <v/>
      </c>
      <c r="N49" s="72">
        <f>IF(OR(H49="нет СОЧ",M49="нет СОЧ"),"нет СОЧ",IF(AND(H49=5,M49=5),"Отличник",IF(MIN(H49,M49)&gt;=4,"Хорошист",IF(AND(MIN(H49,M49)=3,MAX(H49,M49)&gt;=4),"Резерв (одна «3»)",""))))</f>
        <v/>
      </c>
    </row>
    <row r="50" ht="15" customHeight="1" s="57">
      <c r="A50" s="73" t="inlineStr">
        <is>
          <t>9Б</t>
        </is>
      </c>
      <c r="B50" s="73" t="n">
        <v>20</v>
      </c>
      <c r="C50" s="74">
        <f>'9Б СОР-СОЧ'!B23</f>
        <v/>
      </c>
      <c r="D50" s="75">
        <f>IFERROR(INDEX('9Б Алгебра'!$Z:$Z,MATCH($C50,'9Б Алгебра'!$B:$B,0))/10,"")</f>
        <v/>
      </c>
      <c r="E50" s="75">
        <f>('9Б СОР-СОЧ'!C23+'9Б СОР-СОЧ'!E23)/('9Б СОР-СОЧ'!C$25+'9Б СОР-СОЧ'!E$25)</f>
        <v/>
      </c>
      <c r="F50" s="75">
        <f>IF('9Б СОР-СОЧ'!G23="","",'9Б СОР-СОЧ'!G23/'9Б СОР-СОЧ'!G$25)</f>
        <v/>
      </c>
      <c r="G50" s="75">
        <f>IF(OR(F50="",D50=""),"",D50*Правила!$B$4+E50*Правила!$B$5+F50*Правила!$B$6)</f>
        <v/>
      </c>
      <c r="H50" s="76">
        <f>IF(G50="","нет СОЧ",IF(G50&gt;=Правила!$B$8,5,IF(G50&gt;=Правила!$B$9,4,IF(G50&gt;=Правила!$B$10,3,2))))</f>
        <v/>
      </c>
      <c r="I50" s="75">
        <f>IFERROR(INDEX('9Б Геометрия'!$S:$S,MATCH($C50,'9Б Геометрия'!$B:$B,0))/10,"")</f>
        <v/>
      </c>
      <c r="J50" s="75">
        <f>('9Б СОР-СОЧ'!I23)/('9Б СОР-СОЧ'!I$25)</f>
        <v/>
      </c>
      <c r="K50" s="75">
        <f>IF('9Б СОР-СОЧ'!K23="","",'9Б СОР-СОЧ'!K23/'9Б СОР-СОЧ'!K$25)</f>
        <v/>
      </c>
      <c r="L50" s="75">
        <f>IF(OR(K50="",I50=""),"",I50*Правила!$B$4+J50*Правила!$B$5+K50*Правила!$B$6)</f>
        <v/>
      </c>
      <c r="M50" s="76">
        <f>IF(L50="","нет СОЧ",IF(L50&gt;=Правила!$B$8,5,IF(L50&gt;=Правила!$B$9,4,IF(L50&gt;=Правила!$B$10,3,2))))</f>
        <v/>
      </c>
      <c r="N50" s="76">
        <f>IF(OR(H50="нет СОЧ",M50="нет СОЧ"),"нет СОЧ",IF(AND(H50=5,M50=5),"Отличник",IF(MIN(H50,M50)&gt;=4,"Хорошист",IF(AND(MIN(H50,M50)=3,MAX(H50,M50)&gt;=4),"Резерв (одна «3»)",""))))</f>
        <v/>
      </c>
    </row>
    <row r="51" ht="15" customHeight="1" s="57">
      <c r="A51" s="69" t="inlineStr">
        <is>
          <t>10А</t>
        </is>
      </c>
      <c r="B51" s="69" t="n">
        <v>1</v>
      </c>
      <c r="C51" s="70">
        <f>'10А СОР-СОЧ'!B4</f>
        <v/>
      </c>
      <c r="D51" s="71">
        <f>IFERROR(INDEX('10А Алгебра'!$AH:$AH,MATCH($C51,'10А Алгебра'!$B:$B,0))/10,"")</f>
        <v/>
      </c>
      <c r="E51" s="71">
        <f>('10А СОР-СОЧ'!C4+'10А СОР-СОЧ'!E4+'10А СОР-СОЧ'!G4)/('10А СОР-СОЧ'!C$17+'10А СОР-СОЧ'!E$17+'10А СОР-СОЧ'!G$17)</f>
        <v/>
      </c>
      <c r="F51" s="71">
        <f>IF('10А СОР-СОЧ'!I4="","",'10А СОР-СОЧ'!I4/'10А СОР-СОЧ'!I$17)</f>
        <v/>
      </c>
      <c r="G51" s="71">
        <f>IF(OR(F51="",D51=""),"",D51*Правила!$B$4+E51*Правила!$B$5+F51*Правила!$B$6)</f>
        <v/>
      </c>
      <c r="H51" s="72">
        <f>IF(G51="","нет СОЧ",IF(G51&gt;=Правила!$B$8,5,IF(G51&gt;=Правила!$B$9,4,IF(G51&gt;=Правила!$B$10,3,2))))</f>
        <v/>
      </c>
      <c r="I51" s="71">
        <f>IFERROR(INDEX('10А Геометрия'!$S:$S,MATCH($C51,'10А Геометрия'!$B:$B,0))/10,"")</f>
        <v/>
      </c>
      <c r="J51" s="71">
        <f>('10А СОР-СОЧ'!K4)/('10А СОР-СОЧ'!K$17)</f>
        <v/>
      </c>
      <c r="K51" s="71">
        <f>IF('10А СОР-СОЧ'!M4="","",'10А СОР-СОЧ'!M4/'10А СОР-СОЧ'!M$17)</f>
        <v/>
      </c>
      <c r="L51" s="71">
        <f>IF(OR(K51="",I51=""),"",I51*Правила!$B$4+J51*Правила!$B$5+K51*Правила!$B$6)</f>
        <v/>
      </c>
      <c r="M51" s="72">
        <f>IF(L51="","нет СОЧ",IF(L51&gt;=Правила!$B$8,5,IF(L51&gt;=Правила!$B$9,4,IF(L51&gt;=Правила!$B$10,3,2))))</f>
        <v/>
      </c>
      <c r="N51" s="72">
        <f>IF(OR(H51="нет СОЧ",M51="нет СОЧ"),"нет СОЧ",IF(AND(H51=5,M51=5),"Отличник",IF(MIN(H51,M51)&gt;=4,"Хорошист",IF(AND(MIN(H51,M51)=3,MAX(H51,M51)&gt;=4),"Резерв (одна «3»)",""))))</f>
        <v/>
      </c>
    </row>
    <row r="52" ht="15" customHeight="1" s="57">
      <c r="A52" s="69" t="inlineStr">
        <is>
          <t>10А</t>
        </is>
      </c>
      <c r="B52" s="69" t="n">
        <v>2</v>
      </c>
      <c r="C52" s="70">
        <f>'10А СОР-СОЧ'!B5</f>
        <v/>
      </c>
      <c r="D52" s="71">
        <f>IFERROR(INDEX('10А Алгебра'!$AH:$AH,MATCH($C52,'10А Алгебра'!$B:$B,0))/10,"")</f>
        <v/>
      </c>
      <c r="E52" s="71">
        <f>('10А СОР-СОЧ'!C5+'10А СОР-СОЧ'!E5+'10А СОР-СОЧ'!G5)/('10А СОР-СОЧ'!C$17+'10А СОР-СОЧ'!E$17+'10А СОР-СОЧ'!G$17)</f>
        <v/>
      </c>
      <c r="F52" s="71">
        <f>IF('10А СОР-СОЧ'!I5="","",'10А СОР-СОЧ'!I5/'10А СОР-СОЧ'!I$17)</f>
        <v/>
      </c>
      <c r="G52" s="71">
        <f>IF(OR(F52="",D52=""),"",D52*Правила!$B$4+E52*Правила!$B$5+F52*Правила!$B$6)</f>
        <v/>
      </c>
      <c r="H52" s="72">
        <f>IF(G52="","нет СОЧ",IF(G52&gt;=Правила!$B$8,5,IF(G52&gt;=Правила!$B$9,4,IF(G52&gt;=Правила!$B$10,3,2))))</f>
        <v/>
      </c>
      <c r="I52" s="71">
        <f>IFERROR(INDEX('10А Геометрия'!$S:$S,MATCH($C52,'10А Геометрия'!$B:$B,0))/10,"")</f>
        <v/>
      </c>
      <c r="J52" s="71">
        <f>('10А СОР-СОЧ'!K5)/('10А СОР-СОЧ'!K$17)</f>
        <v/>
      </c>
      <c r="K52" s="71">
        <f>IF('10А СОР-СОЧ'!M5="","",'10А СОР-СОЧ'!M5/'10А СОР-СОЧ'!M$17)</f>
        <v/>
      </c>
      <c r="L52" s="71">
        <f>IF(OR(K52="",I52=""),"",I52*Правила!$B$4+J52*Правила!$B$5+K52*Правила!$B$6)</f>
        <v/>
      </c>
      <c r="M52" s="72">
        <f>IF(L52="","нет СОЧ",IF(L52&gt;=Правила!$B$8,5,IF(L52&gt;=Правила!$B$9,4,IF(L52&gt;=Правила!$B$10,3,2))))</f>
        <v/>
      </c>
      <c r="N52" s="72">
        <f>IF(OR(H52="нет СОЧ",M52="нет СОЧ"),"нет СОЧ",IF(AND(H52=5,M52=5),"Отличник",IF(MIN(H52,M52)&gt;=4,"Хорошист",IF(AND(MIN(H52,M52)=3,MAX(H52,M52)&gt;=4),"Резерв (одна «3»)",""))))</f>
        <v/>
      </c>
    </row>
    <row r="53" ht="15" customHeight="1" s="57">
      <c r="A53" s="69" t="inlineStr">
        <is>
          <t>10А</t>
        </is>
      </c>
      <c r="B53" s="69" t="n">
        <v>3</v>
      </c>
      <c r="C53" s="70">
        <f>'10А СОР-СОЧ'!B6</f>
        <v/>
      </c>
      <c r="D53" s="71">
        <f>IFERROR(INDEX('10А Алгебра'!$AH:$AH,MATCH($C53,'10А Алгебра'!$B:$B,0))/10,"")</f>
        <v/>
      </c>
      <c r="E53" s="71">
        <f>('10А СОР-СОЧ'!C6+'10А СОР-СОЧ'!E6+'10А СОР-СОЧ'!G6)/('10А СОР-СОЧ'!C$17+'10А СОР-СОЧ'!E$17+'10А СОР-СОЧ'!G$17)</f>
        <v/>
      </c>
      <c r="F53" s="71">
        <f>IF('10А СОР-СОЧ'!I6="","",'10А СОР-СОЧ'!I6/'10А СОР-СОЧ'!I$17)</f>
        <v/>
      </c>
      <c r="G53" s="71">
        <f>IF(OR(F53="",D53=""),"",D53*Правила!$B$4+E53*Правила!$B$5+F53*Правила!$B$6)</f>
        <v/>
      </c>
      <c r="H53" s="72">
        <f>IF(G53="","нет СОЧ",IF(G53&gt;=Правила!$B$8,5,IF(G53&gt;=Правила!$B$9,4,IF(G53&gt;=Правила!$B$10,3,2))))</f>
        <v/>
      </c>
      <c r="I53" s="71">
        <f>IFERROR(INDEX('10А Геометрия'!$S:$S,MATCH($C53,'10А Геометрия'!$B:$B,0))/10,"")</f>
        <v/>
      </c>
      <c r="J53" s="71">
        <f>('10А СОР-СОЧ'!K6)/('10А СОР-СОЧ'!K$17)</f>
        <v/>
      </c>
      <c r="K53" s="71">
        <f>IF('10А СОР-СОЧ'!M6="","",'10А СОР-СОЧ'!M6/'10А СОР-СОЧ'!M$17)</f>
        <v/>
      </c>
      <c r="L53" s="71">
        <f>IF(OR(K53="",I53=""),"",I53*Правила!$B$4+J53*Правила!$B$5+K53*Правила!$B$6)</f>
        <v/>
      </c>
      <c r="M53" s="72">
        <f>IF(L53="","нет СОЧ",IF(L53&gt;=Правила!$B$8,5,IF(L53&gt;=Правила!$B$9,4,IF(L53&gt;=Правила!$B$10,3,2))))</f>
        <v/>
      </c>
      <c r="N53" s="72">
        <f>IF(OR(H53="нет СОЧ",M53="нет СОЧ"),"нет СОЧ",IF(AND(H53=5,M53=5),"Отличник",IF(MIN(H53,M53)&gt;=4,"Хорошист",IF(AND(MIN(H53,M53)=3,MAX(H53,M53)&gt;=4),"Резерв (одна «3»)",""))))</f>
        <v/>
      </c>
    </row>
    <row r="54" ht="15" customHeight="1" s="57">
      <c r="A54" s="69" t="inlineStr">
        <is>
          <t>10А</t>
        </is>
      </c>
      <c r="B54" s="69" t="n">
        <v>4</v>
      </c>
      <c r="C54" s="70">
        <f>'10А СОР-СОЧ'!B7</f>
        <v/>
      </c>
      <c r="D54" s="71">
        <f>IFERROR(INDEX('10А Алгебра'!$AH:$AH,MATCH($C54,'10А Алгебра'!$B:$B,0))/10,"")</f>
        <v/>
      </c>
      <c r="E54" s="71">
        <f>('10А СОР-СОЧ'!C7+'10А СОР-СОЧ'!E7+'10А СОР-СОЧ'!G7)/('10А СОР-СОЧ'!C$17+'10А СОР-СОЧ'!E$17+'10А СОР-СОЧ'!G$17)</f>
        <v/>
      </c>
      <c r="F54" s="71">
        <f>IF('10А СОР-СОЧ'!I7="","",'10А СОР-СОЧ'!I7/'10А СОР-СОЧ'!I$17)</f>
        <v/>
      </c>
      <c r="G54" s="71">
        <f>IF(OR(F54="",D54=""),"",D54*Правила!$B$4+E54*Правила!$B$5+F54*Правила!$B$6)</f>
        <v/>
      </c>
      <c r="H54" s="72">
        <f>IF(G54="","нет СОЧ",IF(G54&gt;=Правила!$B$8,5,IF(G54&gt;=Правила!$B$9,4,IF(G54&gt;=Правила!$B$10,3,2))))</f>
        <v/>
      </c>
      <c r="I54" s="71">
        <f>IFERROR(INDEX('10А Геометрия'!$S:$S,MATCH($C54,'10А Геометрия'!$B:$B,0))/10,"")</f>
        <v/>
      </c>
      <c r="J54" s="71">
        <f>('10А СОР-СОЧ'!K7)/('10А СОР-СОЧ'!K$17)</f>
        <v/>
      </c>
      <c r="K54" s="71">
        <f>IF('10А СОР-СОЧ'!M7="","",'10А СОР-СОЧ'!M7/'10А СОР-СОЧ'!M$17)</f>
        <v/>
      </c>
      <c r="L54" s="71">
        <f>IF(OR(K54="",I54=""),"",I54*Правила!$B$4+J54*Правила!$B$5+K54*Правила!$B$6)</f>
        <v/>
      </c>
      <c r="M54" s="72">
        <f>IF(L54="","нет СОЧ",IF(L54&gt;=Правила!$B$8,5,IF(L54&gt;=Правила!$B$9,4,IF(L54&gt;=Правила!$B$10,3,2))))</f>
        <v/>
      </c>
      <c r="N54" s="72">
        <f>IF(OR(H54="нет СОЧ",M54="нет СОЧ"),"нет СОЧ",IF(AND(H54=5,M54=5),"Отличник",IF(MIN(H54,M54)&gt;=4,"Хорошист",IF(AND(MIN(H54,M54)=3,MAX(H54,M54)&gt;=4),"Резерв (одна «3»)",""))))</f>
        <v/>
      </c>
    </row>
    <row r="55" ht="15" customHeight="1" s="57">
      <c r="A55" s="69" t="inlineStr">
        <is>
          <t>10А</t>
        </is>
      </c>
      <c r="B55" s="69" t="n">
        <v>5</v>
      </c>
      <c r="C55" s="70">
        <f>'10А СОР-СОЧ'!B8</f>
        <v/>
      </c>
      <c r="D55" s="71">
        <f>IFERROR(INDEX('10А Алгебра'!$AH:$AH,MATCH($C55,'10А Алгебра'!$B:$B,0))/10,"")</f>
        <v/>
      </c>
      <c r="E55" s="71">
        <f>('10А СОР-СОЧ'!C8+'10А СОР-СОЧ'!E8+'10А СОР-СОЧ'!G8)/('10А СОР-СОЧ'!C$17+'10А СОР-СОЧ'!E$17+'10А СОР-СОЧ'!G$17)</f>
        <v/>
      </c>
      <c r="F55" s="71">
        <f>IF('10А СОР-СОЧ'!I8="","",'10А СОР-СОЧ'!I8/'10А СОР-СОЧ'!I$17)</f>
        <v/>
      </c>
      <c r="G55" s="71">
        <f>IF(OR(F55="",D55=""),"",D55*Правила!$B$4+E55*Правила!$B$5+F55*Правила!$B$6)</f>
        <v/>
      </c>
      <c r="H55" s="72">
        <f>IF(G55="","нет СОЧ",IF(G55&gt;=Правила!$B$8,5,IF(G55&gt;=Правила!$B$9,4,IF(G55&gt;=Правила!$B$10,3,2))))</f>
        <v/>
      </c>
      <c r="I55" s="71">
        <f>IFERROR(INDEX('10А Геометрия'!$S:$S,MATCH($C55,'10А Геометрия'!$B:$B,0))/10,"")</f>
        <v/>
      </c>
      <c r="J55" s="71">
        <f>('10А СОР-СОЧ'!K8)/('10А СОР-СОЧ'!K$17)</f>
        <v/>
      </c>
      <c r="K55" s="71">
        <f>IF('10А СОР-СОЧ'!M8="","",'10А СОР-СОЧ'!M8/'10А СОР-СОЧ'!M$17)</f>
        <v/>
      </c>
      <c r="L55" s="71">
        <f>IF(OR(K55="",I55=""),"",I55*Правила!$B$4+J55*Правила!$B$5+K55*Правила!$B$6)</f>
        <v/>
      </c>
      <c r="M55" s="72">
        <f>IF(L55="","нет СОЧ",IF(L55&gt;=Правила!$B$8,5,IF(L55&gt;=Правила!$B$9,4,IF(L55&gt;=Правила!$B$10,3,2))))</f>
        <v/>
      </c>
      <c r="N55" s="72">
        <f>IF(OR(H55="нет СОЧ",M55="нет СОЧ"),"нет СОЧ",IF(AND(H55=5,M55=5),"Отличник",IF(MIN(H55,M55)&gt;=4,"Хорошист",IF(AND(MIN(H55,M55)=3,MAX(H55,M55)&gt;=4),"Резерв (одна «3»)",""))))</f>
        <v/>
      </c>
    </row>
    <row r="56" ht="15" customHeight="1" s="57">
      <c r="A56" s="69" t="inlineStr">
        <is>
          <t>10А</t>
        </is>
      </c>
      <c r="B56" s="69" t="n">
        <v>6</v>
      </c>
      <c r="C56" s="70">
        <f>'10А СОР-СОЧ'!B9</f>
        <v/>
      </c>
      <c r="D56" s="71">
        <f>IFERROR(INDEX('10А Алгебра'!$AH:$AH,MATCH($C56,'10А Алгебра'!$B:$B,0))/10,"")</f>
        <v/>
      </c>
      <c r="E56" s="71">
        <f>('10А СОР-СОЧ'!C9+'10А СОР-СОЧ'!E9+'10А СОР-СОЧ'!G9)/('10А СОР-СОЧ'!C$17+'10А СОР-СОЧ'!E$17+'10А СОР-СОЧ'!G$17)</f>
        <v/>
      </c>
      <c r="F56" s="71">
        <f>IF('10А СОР-СОЧ'!I9="","",'10А СОР-СОЧ'!I9/'10А СОР-СОЧ'!I$17)</f>
        <v/>
      </c>
      <c r="G56" s="71">
        <f>IF(OR(F56="",D56=""),"",D56*Правила!$B$4+E56*Правила!$B$5+F56*Правила!$B$6)</f>
        <v/>
      </c>
      <c r="H56" s="72">
        <f>IF(G56="","нет СОЧ",IF(G56&gt;=Правила!$B$8,5,IF(G56&gt;=Правила!$B$9,4,IF(G56&gt;=Правила!$B$10,3,2))))</f>
        <v/>
      </c>
      <c r="I56" s="71">
        <f>IFERROR(INDEX('10А Геометрия'!$S:$S,MATCH($C56,'10А Геометрия'!$B:$B,0))/10,"")</f>
        <v/>
      </c>
      <c r="J56" s="71">
        <f>('10А СОР-СОЧ'!K9)/('10А СОР-СОЧ'!K$17)</f>
        <v/>
      </c>
      <c r="K56" s="71">
        <f>IF('10А СОР-СОЧ'!M9="","",'10А СОР-СОЧ'!M9/'10А СОР-СОЧ'!M$17)</f>
        <v/>
      </c>
      <c r="L56" s="71">
        <f>IF(OR(K56="",I56=""),"",I56*Правила!$B$4+J56*Правила!$B$5+K56*Правила!$B$6)</f>
        <v/>
      </c>
      <c r="M56" s="72">
        <f>IF(L56="","нет СОЧ",IF(L56&gt;=Правила!$B$8,5,IF(L56&gt;=Правила!$B$9,4,IF(L56&gt;=Правила!$B$10,3,2))))</f>
        <v/>
      </c>
      <c r="N56" s="72">
        <f>IF(OR(H56="нет СОЧ",M56="нет СОЧ"),"нет СОЧ",IF(AND(H56=5,M56=5),"Отличник",IF(MIN(H56,M56)&gt;=4,"Хорошист",IF(AND(MIN(H56,M56)=3,MAX(H56,M56)&gt;=4),"Резерв (одна «3»)",""))))</f>
        <v/>
      </c>
    </row>
    <row r="57" ht="15" customHeight="1" s="57">
      <c r="A57" s="69" t="inlineStr">
        <is>
          <t>10А</t>
        </is>
      </c>
      <c r="B57" s="69" t="n">
        <v>7</v>
      </c>
      <c r="C57" s="70">
        <f>'10А СОР-СОЧ'!B10</f>
        <v/>
      </c>
      <c r="D57" s="71">
        <f>IFERROR(INDEX('10А Алгебра'!$AH:$AH,MATCH($C57,'10А Алгебра'!$B:$B,0))/10,"")</f>
        <v/>
      </c>
      <c r="E57" s="71">
        <f>('10А СОР-СОЧ'!C10+'10А СОР-СОЧ'!E10+'10А СОР-СОЧ'!G10)/('10А СОР-СОЧ'!C$17+'10А СОР-СОЧ'!E$17+'10А СОР-СОЧ'!G$17)</f>
        <v/>
      </c>
      <c r="F57" s="71">
        <f>IF('10А СОР-СОЧ'!I10="","",'10А СОР-СОЧ'!I10/'10А СОР-СОЧ'!I$17)</f>
        <v/>
      </c>
      <c r="G57" s="71">
        <f>IF(OR(F57="",D57=""),"",D57*Правила!$B$4+E57*Правила!$B$5+F57*Правила!$B$6)</f>
        <v/>
      </c>
      <c r="H57" s="72">
        <f>IF(G57="","нет СОЧ",IF(G57&gt;=Правила!$B$8,5,IF(G57&gt;=Правила!$B$9,4,IF(G57&gt;=Правила!$B$10,3,2))))</f>
        <v/>
      </c>
      <c r="I57" s="71">
        <f>IFERROR(INDEX('10А Геометрия'!$S:$S,MATCH($C57,'10А Геометрия'!$B:$B,0))/10,"")</f>
        <v/>
      </c>
      <c r="J57" s="71">
        <f>('10А СОР-СОЧ'!K10)/('10А СОР-СОЧ'!K$17)</f>
        <v/>
      </c>
      <c r="K57" s="71">
        <f>IF('10А СОР-СОЧ'!M10="","",'10А СОР-СОЧ'!M10/'10А СОР-СОЧ'!M$17)</f>
        <v/>
      </c>
      <c r="L57" s="71">
        <f>IF(OR(K57="",I57=""),"",I57*Правила!$B$4+J57*Правила!$B$5+K57*Правила!$B$6)</f>
        <v/>
      </c>
      <c r="M57" s="72">
        <f>IF(L57="","нет СОЧ",IF(L57&gt;=Правила!$B$8,5,IF(L57&gt;=Правила!$B$9,4,IF(L57&gt;=Правила!$B$10,3,2))))</f>
        <v/>
      </c>
      <c r="N57" s="72">
        <f>IF(OR(H57="нет СОЧ",M57="нет СОЧ"),"нет СОЧ",IF(AND(H57=5,M57=5),"Отличник",IF(MIN(H57,M57)&gt;=4,"Хорошист",IF(AND(MIN(H57,M57)=3,MAX(H57,M57)&gt;=4),"Резерв (одна «3»)",""))))</f>
        <v/>
      </c>
    </row>
    <row r="58" ht="15" customHeight="1" s="57">
      <c r="A58" s="69" t="inlineStr">
        <is>
          <t>10А</t>
        </is>
      </c>
      <c r="B58" s="69" t="n">
        <v>8</v>
      </c>
      <c r="C58" s="70">
        <f>'10А СОР-СОЧ'!B11</f>
        <v/>
      </c>
      <c r="D58" s="71">
        <f>IFERROR(INDEX('10А Алгебра'!$AH:$AH,MATCH($C58,'10А Алгебра'!$B:$B,0))/10,"")</f>
        <v/>
      </c>
      <c r="E58" s="71">
        <f>('10А СОР-СОЧ'!C11+'10А СОР-СОЧ'!E11+'10А СОР-СОЧ'!G11)/('10А СОР-СОЧ'!C$17+'10А СОР-СОЧ'!E$17+'10А СОР-СОЧ'!G$17)</f>
        <v/>
      </c>
      <c r="F58" s="71">
        <f>IF('10А СОР-СОЧ'!I11="","",'10А СОР-СОЧ'!I11/'10А СОР-СОЧ'!I$17)</f>
        <v/>
      </c>
      <c r="G58" s="71">
        <f>IF(OR(F58="",D58=""),"",D58*Правила!$B$4+E58*Правила!$B$5+F58*Правила!$B$6)</f>
        <v/>
      </c>
      <c r="H58" s="72">
        <f>IF(G58="","нет СОЧ",IF(G58&gt;=Правила!$B$8,5,IF(G58&gt;=Правила!$B$9,4,IF(G58&gt;=Правила!$B$10,3,2))))</f>
        <v/>
      </c>
      <c r="I58" s="71">
        <f>IFERROR(INDEX('10А Геометрия'!$S:$S,MATCH($C58,'10А Геометрия'!$B:$B,0))/10,"")</f>
        <v/>
      </c>
      <c r="J58" s="71">
        <f>('10А СОР-СОЧ'!K11)/('10А СОР-СОЧ'!K$17)</f>
        <v/>
      </c>
      <c r="K58" s="71">
        <f>IF('10А СОР-СОЧ'!M11="","",'10А СОР-СОЧ'!M11/'10А СОР-СОЧ'!M$17)</f>
        <v/>
      </c>
      <c r="L58" s="71">
        <f>IF(OR(K58="",I58=""),"",I58*Правила!$B$4+J58*Правила!$B$5+K58*Правила!$B$6)</f>
        <v/>
      </c>
      <c r="M58" s="72">
        <f>IF(L58="","нет СОЧ",IF(L58&gt;=Правила!$B$8,5,IF(L58&gt;=Правила!$B$9,4,IF(L58&gt;=Правила!$B$10,3,2))))</f>
        <v/>
      </c>
      <c r="N58" s="72">
        <f>IF(OR(H58="нет СОЧ",M58="нет СОЧ"),"нет СОЧ",IF(AND(H58=5,M58=5),"Отличник",IF(MIN(H58,M58)&gt;=4,"Хорошист",IF(AND(MIN(H58,M58)=3,MAX(H58,M58)&gt;=4),"Резерв (одна «3»)",""))))</f>
        <v/>
      </c>
    </row>
    <row r="59" ht="15" customHeight="1" s="57">
      <c r="A59" s="69" t="inlineStr">
        <is>
          <t>10А</t>
        </is>
      </c>
      <c r="B59" s="69" t="n">
        <v>9</v>
      </c>
      <c r="C59" s="70">
        <f>'10А СОР-СОЧ'!B12</f>
        <v/>
      </c>
      <c r="D59" s="71">
        <f>IFERROR(INDEX('10А Алгебра'!$AH:$AH,MATCH($C59,'10А Алгебра'!$B:$B,0))/10,"")</f>
        <v/>
      </c>
      <c r="E59" s="71">
        <f>('10А СОР-СОЧ'!C12+'10А СОР-СОЧ'!E12+'10А СОР-СОЧ'!G12)/('10А СОР-СОЧ'!C$17+'10А СОР-СОЧ'!E$17+'10А СОР-СОЧ'!G$17)</f>
        <v/>
      </c>
      <c r="F59" s="71">
        <f>IF('10А СОР-СОЧ'!I12="","",'10А СОР-СОЧ'!I12/'10А СОР-СОЧ'!I$17)</f>
        <v/>
      </c>
      <c r="G59" s="71">
        <f>IF(OR(F59="",D59=""),"",D59*Правила!$B$4+E59*Правила!$B$5+F59*Правила!$B$6)</f>
        <v/>
      </c>
      <c r="H59" s="72">
        <f>IF(G59="","нет СОЧ",IF(G59&gt;=Правила!$B$8,5,IF(G59&gt;=Правила!$B$9,4,IF(G59&gt;=Правила!$B$10,3,2))))</f>
        <v/>
      </c>
      <c r="I59" s="71">
        <f>IFERROR(INDEX('10А Геометрия'!$S:$S,MATCH($C59,'10А Геометрия'!$B:$B,0))/10,"")</f>
        <v/>
      </c>
      <c r="J59" s="71">
        <f>('10А СОР-СОЧ'!K12)/('10А СОР-СОЧ'!K$17)</f>
        <v/>
      </c>
      <c r="K59" s="71">
        <f>IF('10А СОР-СОЧ'!M12="","",'10А СОР-СОЧ'!M12/'10А СОР-СОЧ'!M$17)</f>
        <v/>
      </c>
      <c r="L59" s="71">
        <f>IF(OR(K59="",I59=""),"",I59*Правила!$B$4+J59*Правила!$B$5+K59*Правила!$B$6)</f>
        <v/>
      </c>
      <c r="M59" s="72">
        <f>IF(L59="","нет СОЧ",IF(L59&gt;=Правила!$B$8,5,IF(L59&gt;=Правила!$B$9,4,IF(L59&gt;=Правила!$B$10,3,2))))</f>
        <v/>
      </c>
      <c r="N59" s="72">
        <f>IF(OR(H59="нет СОЧ",M59="нет СОЧ"),"нет СОЧ",IF(AND(H59=5,M59=5),"Отличник",IF(MIN(H59,M59)&gt;=4,"Хорошист",IF(AND(MIN(H59,M59)=3,MAX(H59,M59)&gt;=4),"Резерв (одна «3»)",""))))</f>
        <v/>
      </c>
    </row>
    <row r="60" ht="15" customHeight="1" s="57">
      <c r="A60" s="69" t="inlineStr">
        <is>
          <t>10А</t>
        </is>
      </c>
      <c r="B60" s="69" t="n">
        <v>10</v>
      </c>
      <c r="C60" s="70">
        <f>'10А СОР-СОЧ'!B13</f>
        <v/>
      </c>
      <c r="D60" s="71">
        <f>IFERROR(INDEX('10А Алгебра'!$AH:$AH,MATCH($C60,'10А Алгебра'!$B:$B,0))/10,"")</f>
        <v/>
      </c>
      <c r="E60" s="71">
        <f>('10А СОР-СОЧ'!C13+'10А СОР-СОЧ'!E13+'10А СОР-СОЧ'!G13)/('10А СОР-СОЧ'!C$17+'10А СОР-СОЧ'!E$17+'10А СОР-СОЧ'!G$17)</f>
        <v/>
      </c>
      <c r="F60" s="71">
        <f>IF('10А СОР-СОЧ'!I13="","",'10А СОР-СОЧ'!I13/'10А СОР-СОЧ'!I$17)</f>
        <v/>
      </c>
      <c r="G60" s="71">
        <f>IF(OR(F60="",D60=""),"",D60*Правила!$B$4+E60*Правила!$B$5+F60*Правила!$B$6)</f>
        <v/>
      </c>
      <c r="H60" s="72">
        <f>IF(G60="","нет СОЧ",IF(G60&gt;=Правила!$B$8,5,IF(G60&gt;=Правила!$B$9,4,IF(G60&gt;=Правила!$B$10,3,2))))</f>
        <v/>
      </c>
      <c r="I60" s="71">
        <f>IFERROR(INDEX('10А Геометрия'!$S:$S,MATCH($C60,'10А Геометрия'!$B:$B,0))/10,"")</f>
        <v/>
      </c>
      <c r="J60" s="71">
        <f>('10А СОР-СОЧ'!K13)/('10А СОР-СОЧ'!K$17)</f>
        <v/>
      </c>
      <c r="K60" s="71">
        <f>IF('10А СОР-СОЧ'!M13="","",'10А СОР-СОЧ'!M13/'10А СОР-СОЧ'!M$17)</f>
        <v/>
      </c>
      <c r="L60" s="71">
        <f>IF(OR(K60="",I60=""),"",I60*Правила!$B$4+J60*Правила!$B$5+K60*Правила!$B$6)</f>
        <v/>
      </c>
      <c r="M60" s="72">
        <f>IF(L60="","нет СОЧ",IF(L60&gt;=Правила!$B$8,5,IF(L60&gt;=Правила!$B$9,4,IF(L60&gt;=Правила!$B$10,3,2))))</f>
        <v/>
      </c>
      <c r="N60" s="72">
        <f>IF(OR(H60="нет СОЧ",M60="нет СОЧ"),"нет СОЧ",IF(AND(H60=5,M60=5),"Отличник",IF(MIN(H60,M60)&gt;=4,"Хорошист",IF(AND(MIN(H60,M60)=3,MAX(H60,M60)&gt;=4),"Резерв (одна «3»)",""))))</f>
        <v/>
      </c>
    </row>
    <row r="61" ht="15" customHeight="1" s="57">
      <c r="A61" s="69" t="inlineStr">
        <is>
          <t>10А</t>
        </is>
      </c>
      <c r="B61" s="69" t="n">
        <v>11</v>
      </c>
      <c r="C61" s="70">
        <f>'10А СОР-СОЧ'!B14</f>
        <v/>
      </c>
      <c r="D61" s="71">
        <f>IFERROR(INDEX('10А Алгебра'!$AH:$AH,MATCH($C61,'10А Алгебра'!$B:$B,0))/10,"")</f>
        <v/>
      </c>
      <c r="E61" s="71">
        <f>('10А СОР-СОЧ'!C14+'10А СОР-СОЧ'!E14+'10А СОР-СОЧ'!G14)/('10А СОР-СОЧ'!C$17+'10А СОР-СОЧ'!E$17+'10А СОР-СОЧ'!G$17)</f>
        <v/>
      </c>
      <c r="F61" s="71">
        <f>IF('10А СОР-СОЧ'!I14="","",'10А СОР-СОЧ'!I14/'10А СОР-СОЧ'!I$17)</f>
        <v/>
      </c>
      <c r="G61" s="71">
        <f>IF(OR(F61="",D61=""),"",D61*Правила!$B$4+E61*Правила!$B$5+F61*Правила!$B$6)</f>
        <v/>
      </c>
      <c r="H61" s="72">
        <f>IF(G61="","нет СОЧ",IF(G61&gt;=Правила!$B$8,5,IF(G61&gt;=Правила!$B$9,4,IF(G61&gt;=Правила!$B$10,3,2))))</f>
        <v/>
      </c>
      <c r="I61" s="71">
        <f>IFERROR(INDEX('10А Геометрия'!$S:$S,MATCH($C61,'10А Геометрия'!$B:$B,0))/10,"")</f>
        <v/>
      </c>
      <c r="J61" s="71">
        <f>('10А СОР-СОЧ'!K14)/('10А СОР-СОЧ'!K$17)</f>
        <v/>
      </c>
      <c r="K61" s="71">
        <f>IF('10А СОР-СОЧ'!M14="","",'10А СОР-СОЧ'!M14/'10А СОР-СОЧ'!M$17)</f>
        <v/>
      </c>
      <c r="L61" s="71">
        <f>IF(OR(K61="",I61=""),"",I61*Правила!$B$4+J61*Правила!$B$5+K61*Правила!$B$6)</f>
        <v/>
      </c>
      <c r="M61" s="72">
        <f>IF(L61="","нет СОЧ",IF(L61&gt;=Правила!$B$8,5,IF(L61&gt;=Правила!$B$9,4,IF(L61&gt;=Правила!$B$10,3,2))))</f>
        <v/>
      </c>
      <c r="N61" s="72">
        <f>IF(OR(H61="нет СОЧ",M61="нет СОЧ"),"нет СОЧ",IF(AND(H61=5,M61=5),"Отличник",IF(MIN(H61,M61)&gt;=4,"Хорошист",IF(AND(MIN(H61,M61)=3,MAX(H61,M61)&gt;=4),"Резерв (одна «3»)",""))))</f>
        <v/>
      </c>
    </row>
    <row r="62" ht="15" customHeight="1" s="57">
      <c r="A62" s="73" t="inlineStr">
        <is>
          <t>10А</t>
        </is>
      </c>
      <c r="B62" s="73" t="n">
        <v>12</v>
      </c>
      <c r="C62" s="74">
        <f>'10А СОР-СОЧ'!B15</f>
        <v/>
      </c>
      <c r="D62" s="75">
        <f>IFERROR(INDEX('10А Алгебра'!$AH:$AH,MATCH($C62,'10А Алгебра'!$B:$B,0))/10,"")</f>
        <v/>
      </c>
      <c r="E62" s="75">
        <f>('10А СОР-СОЧ'!C15+'10А СОР-СОЧ'!E15+'10А СОР-СОЧ'!G15)/('10А СОР-СОЧ'!C$17+'10А СОР-СОЧ'!E$17+'10А СОР-СОЧ'!G$17)</f>
        <v/>
      </c>
      <c r="F62" s="75">
        <f>IF('10А СОР-СОЧ'!I15="","",'10А СОР-СОЧ'!I15/'10А СОР-СОЧ'!I$17)</f>
        <v/>
      </c>
      <c r="G62" s="75">
        <f>IF(OR(F62="",D62=""),"",D62*Правила!$B$4+E62*Правила!$B$5+F62*Правила!$B$6)</f>
        <v/>
      </c>
      <c r="H62" s="76">
        <f>IF(G62="","нет СОЧ",IF(G62&gt;=Правила!$B$8,5,IF(G62&gt;=Правила!$B$9,4,IF(G62&gt;=Правила!$B$10,3,2))))</f>
        <v/>
      </c>
      <c r="I62" s="75">
        <f>IFERROR(INDEX('10А Геометрия'!$S:$S,MATCH($C62,'10А Геометрия'!$B:$B,0))/10,"")</f>
        <v/>
      </c>
      <c r="J62" s="75">
        <f>('10А СОР-СОЧ'!K15)/('10А СОР-СОЧ'!K$17)</f>
        <v/>
      </c>
      <c r="K62" s="75">
        <f>IF('10А СОР-СОЧ'!M15="","",'10А СОР-СОЧ'!M15/'10А СОР-СОЧ'!M$17)</f>
        <v/>
      </c>
      <c r="L62" s="75">
        <f>IF(OR(K62="",I62=""),"",I62*Правила!$B$4+J62*Правила!$B$5+K62*Правила!$B$6)</f>
        <v/>
      </c>
      <c r="M62" s="76">
        <f>IF(L62="","нет СОЧ",IF(L62&gt;=Правила!$B$8,5,IF(L62&gt;=Правила!$B$9,4,IF(L62&gt;=Правила!$B$10,3,2))))</f>
        <v/>
      </c>
      <c r="N62" s="76">
        <f>IF(OR(H62="нет СОЧ",M62="нет СОЧ"),"нет СОЧ",IF(AND(H62=5,M62=5),"Отличник",IF(MIN(H62,M62)&gt;=4,"Хорошист",IF(AND(MIN(H62,M62)=3,MAX(H62,M62)&gt;=4),"Резерв (одна «3»)",""))))</f>
        <v/>
      </c>
    </row>
    <row r="64" ht="15" customHeight="1" s="57">
      <c r="C64" s="77" t="inlineStr">
        <is>
          <t>ФО — средний балл текущих оценок из журнала. Веса и пороги — на листе «Правила».</t>
        </is>
      </c>
    </row>
  </sheetData>
  <autoFilter ref="A3:N62"/>
  <mergeCells count="7">
    <mergeCell ref="A1:P1"/>
    <mergeCell ref="D2:H2"/>
    <mergeCell ref="I2:M2"/>
    <mergeCell ref="B2:B3"/>
    <mergeCell ref="A2:A3"/>
    <mergeCell ref="N2:N3"/>
    <mergeCell ref="C2:C3"/>
  </mergeCells>
  <conditionalFormatting sqref="H4:H62">
    <cfRule type="cellIs" rank="0" priority="2" equalAverage="0" operator="equal" aboveAverage="0" dxfId="7" text="" percent="0" bottom="0">
      <formula>5</formula>
    </cfRule>
    <cfRule type="cellIs" rank="0" priority="3" equalAverage="0" operator="equal" aboveAverage="0" dxfId="8" text="" percent="0" bottom="0">
      <formula>4</formula>
    </cfRule>
    <cfRule type="cellIs" rank="0" priority="4" equalAverage="0" operator="equal" aboveAverage="0" dxfId="9" text="" percent="0" bottom="0">
      <formula>3</formula>
    </cfRule>
    <cfRule type="cellIs" rank="0" priority="5" equalAverage="0" operator="equal" aboveAverage="0" dxfId="10" text="" percent="0" bottom="0">
      <formula>2</formula>
    </cfRule>
  </conditionalFormatting>
  <conditionalFormatting sqref="M4:M62">
    <cfRule type="cellIs" rank="0" priority="6" equalAverage="0" operator="equal" aboveAverage="0" dxfId="7" text="" percent="0" bottom="0">
      <formula>5</formula>
    </cfRule>
    <cfRule type="cellIs" rank="0" priority="7" equalAverage="0" operator="equal" aboveAverage="0" dxfId="8" text="" percent="0" bottom="0">
      <formula>4</formula>
    </cfRule>
    <cfRule type="cellIs" rank="0" priority="8" equalAverage="0" operator="equal" aboveAverage="0" dxfId="9" text="" percent="0" bottom="0">
      <formula>3</formula>
    </cfRule>
    <cfRule type="cellIs" rank="0" priority="9" equalAverage="0" operator="equal" aboveAverage="0" dxfId="10" text="" percent="0" bottom="0">
      <formula>2</formula>
    </cfRule>
  </conditionalFormatting>
  <conditionalFormatting sqref="N4:N62">
    <cfRule type="expression" rank="0" priority="10" equalAverage="0" aboveAverage="0" dxfId="7" text="" percent="0" bottom="0">
      <formula>N4="Отличник"</formula>
    </cfRule>
    <cfRule type="expression" rank="0" priority="11" equalAverage="0" aboveAverage="0" dxfId="8" text="" percent="0" bottom="0">
      <formula>N4="Хорошист"</formula>
    </cfRule>
    <cfRule type="expression" rank="0" priority="12" equalAverage="0" aboveAverage="0" dxfId="9" text="" percent="0" bottom="0">
      <formula>LEFT(N4,6)="Резерв"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9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56" min="1" max="1"/>
    <col width="30" customWidth="1" style="56" min="2" max="2"/>
    <col width="11" customWidth="1" style="56" min="3" max="4"/>
    <col width="14" customWidth="1" style="56" min="5" max="5"/>
    <col width="12" customWidth="1" style="56" min="6" max="6"/>
    <col width="14" customWidth="1" style="56" min="7" max="7"/>
    <col width="13" customWidth="1" style="56" min="8" max="8"/>
  </cols>
  <sheetData>
    <row r="1" ht="17.35" customHeight="1" s="57">
      <c r="A1" s="58" t="inlineStr">
        <is>
          <t>Отличники и хорошисты по математике — 1 четверть 2026/2027</t>
        </is>
      </c>
    </row>
    <row r="3" ht="15" customHeight="1" s="57">
      <c r="A3" s="78" t="inlineStr">
        <is>
          <t>Сводка по классам</t>
        </is>
      </c>
    </row>
    <row r="4" ht="30" customHeight="1" s="57">
      <c r="A4" s="63" t="inlineStr">
        <is>
          <t>Класс</t>
        </is>
      </c>
      <c r="B4" s="63" t="inlineStr">
        <is>
          <t>Учеников</t>
        </is>
      </c>
      <c r="C4" s="63" t="inlineStr">
        <is>
          <t>Отличники</t>
        </is>
      </c>
      <c r="D4" s="63" t="inlineStr">
        <is>
          <t>Хорошисты</t>
        </is>
      </c>
      <c r="E4" s="63" t="inlineStr">
        <is>
          <t>Резерв (одна «3»)</t>
        </is>
      </c>
      <c r="F4" s="63" t="inlineStr">
        <is>
          <t>Нет СОЧ</t>
        </is>
      </c>
      <c r="G4" s="63" t="inlineStr">
        <is>
          <t>Качество знаний</t>
        </is>
      </c>
      <c r="H4" s="63" t="inlineStr">
        <is>
          <t>Успеваемость</t>
        </is>
      </c>
    </row>
    <row r="5" ht="15" customHeight="1" s="57">
      <c r="A5" s="79" t="inlineStr">
        <is>
          <t>8А</t>
        </is>
      </c>
      <c r="B5" s="79">
        <f>COUNTIF(Четвертные!$A:$A,A5)</f>
        <v/>
      </c>
      <c r="C5" s="79">
        <f>COUNTIFS(Четвертные!$A:$A,$A5,Четвертные!$N:$N,"Отличник")</f>
        <v/>
      </c>
      <c r="D5" s="79">
        <f>COUNTIFS(Четвертные!$A:$A,$A5,Четвертные!$N:$N,"Хорошист")</f>
        <v/>
      </c>
      <c r="E5" s="79">
        <f>COUNTIFS(Четвертные!$A:$A,$A5,Четвертные!$N:$N,"Резерв (одна «3»)")</f>
        <v/>
      </c>
      <c r="F5" s="79">
        <f>COUNTIFS(Четвертные!$A:$A,$A5,Четвертные!$N:$N,"нет СОЧ")</f>
        <v/>
      </c>
      <c r="G5" s="80">
        <f>(C5+D5)/B5</f>
        <v/>
      </c>
      <c r="H5" s="80">
        <f>1-(SUMPRODUCT((Четвертные!$A$4:$A$100=$A5)*(((Четвертные!$H$4:$H$100=2)+(Четвертные!$M$4:$M$100=2))&gt;0)))/B5</f>
        <v/>
      </c>
    </row>
    <row r="6" ht="15" customHeight="1" s="57">
      <c r="A6" s="79" t="inlineStr">
        <is>
          <t>8Б</t>
        </is>
      </c>
      <c r="B6" s="79">
        <f>COUNTIF(Четвертные!$A:$A,A6)</f>
        <v/>
      </c>
      <c r="C6" s="79">
        <f>COUNTIFS(Четвертные!$A:$A,$A6,Четвертные!$N:$N,"Отличник")</f>
        <v/>
      </c>
      <c r="D6" s="79">
        <f>COUNTIFS(Четвертные!$A:$A,$A6,Четвертные!$N:$N,"Хорошист")</f>
        <v/>
      </c>
      <c r="E6" s="79">
        <f>COUNTIFS(Четвертные!$A:$A,$A6,Четвертные!$N:$N,"Резерв (одна «3»)")</f>
        <v/>
      </c>
      <c r="F6" s="79">
        <f>COUNTIFS(Четвертные!$A:$A,$A6,Четвертные!$N:$N,"нет СОЧ")</f>
        <v/>
      </c>
      <c r="G6" s="80">
        <f>(C6+D6)/B6</f>
        <v/>
      </c>
      <c r="H6" s="80">
        <f>1-(SUMPRODUCT((Четвертные!$A$4:$A$100=$A6)*(((Четвертные!$H$4:$H$100=2)+(Четвертные!$M$4:$M$100=2))&gt;0)))/B6</f>
        <v/>
      </c>
    </row>
    <row r="7" ht="15" customHeight="1" s="57">
      <c r="A7" s="79" t="inlineStr">
        <is>
          <t>9Б</t>
        </is>
      </c>
      <c r="B7" s="79">
        <f>COUNTIF(Четвертные!$A:$A,A7)</f>
        <v/>
      </c>
      <c r="C7" s="79">
        <f>COUNTIFS(Четвертные!$A:$A,$A7,Четвертные!$N:$N,"Отличник")</f>
        <v/>
      </c>
      <c r="D7" s="79">
        <f>COUNTIFS(Четвертные!$A:$A,$A7,Четвертные!$N:$N,"Хорошист")</f>
        <v/>
      </c>
      <c r="E7" s="79">
        <f>COUNTIFS(Четвертные!$A:$A,$A7,Четвертные!$N:$N,"Резерв (одна «3»)")</f>
        <v/>
      </c>
      <c r="F7" s="79">
        <f>COUNTIFS(Четвертные!$A:$A,$A7,Четвертные!$N:$N,"нет СОЧ")</f>
        <v/>
      </c>
      <c r="G7" s="80">
        <f>(C7+D7)/B7</f>
        <v/>
      </c>
      <c r="H7" s="80">
        <f>1-(SUMPRODUCT((Четвертные!$A$4:$A$100=$A7)*(((Четвертные!$H$4:$H$100=2)+(Четвертные!$M$4:$M$100=2))&gt;0)))/B7</f>
        <v/>
      </c>
    </row>
    <row r="8" ht="15" customHeight="1" s="57">
      <c r="A8" s="79" t="inlineStr">
        <is>
          <t>10А</t>
        </is>
      </c>
      <c r="B8" s="79">
        <f>COUNTIF(Четвертные!$A:$A,A8)</f>
        <v/>
      </c>
      <c r="C8" s="79">
        <f>COUNTIFS(Четвертные!$A:$A,$A8,Четвертные!$N:$N,"Отличник")</f>
        <v/>
      </c>
      <c r="D8" s="79">
        <f>COUNTIFS(Четвертные!$A:$A,$A8,Четвертные!$N:$N,"Хорошист")</f>
        <v/>
      </c>
      <c r="E8" s="79">
        <f>COUNTIFS(Четвертные!$A:$A,$A8,Четвертные!$N:$N,"Резерв (одна «3»)")</f>
        <v/>
      </c>
      <c r="F8" s="79">
        <f>COUNTIFS(Четвертные!$A:$A,$A8,Четвертные!$N:$N,"нет СОЧ")</f>
        <v/>
      </c>
      <c r="G8" s="80">
        <f>(C8+D8)/B8</f>
        <v/>
      </c>
      <c r="H8" s="80">
        <f>1-(SUMPRODUCT((Четвертные!$A$4:$A$100=$A8)*(((Четвертные!$H$4:$H$100=2)+(Четвертные!$M$4:$M$100=2))&gt;0)))/B8</f>
        <v/>
      </c>
    </row>
    <row r="9" ht="15" customHeight="1" s="57">
      <c r="A9" s="81" t="inlineStr">
        <is>
          <t>Всего</t>
        </is>
      </c>
      <c r="B9" s="81">
        <f>SUM(B5:B8)</f>
        <v/>
      </c>
      <c r="C9" s="81">
        <f>SUM(C5:C8)</f>
        <v/>
      </c>
      <c r="D9" s="81">
        <f>SUM(D5:D8)</f>
        <v/>
      </c>
      <c r="E9" s="81">
        <f>SUM(E5:E8)</f>
        <v/>
      </c>
      <c r="F9" s="81">
        <f>SUM(F5:F8)</f>
        <v/>
      </c>
      <c r="G9" s="82">
        <f>(C9+D9)/B9</f>
        <v/>
      </c>
      <c r="H9" s="82">
        <f>SUMPRODUCT(H5:H8,B5:B8)/B9</f>
        <v/>
      </c>
    </row>
    <row r="10" ht="15" customHeight="1" s="57">
      <c r="A10" s="77" t="inlineStr">
        <is>
          <t>Качество знаний = (отличники + хорошисты) ÷ все ученики. Успеваемость = доля учеников без «2».</t>
        </is>
      </c>
    </row>
    <row r="12" ht="15" customHeight="1" s="57">
      <c r="A12" s="83" t="inlineStr">
        <is>
          <t>8А класс</t>
        </is>
      </c>
    </row>
    <row r="13" ht="15" customHeight="1" s="57">
      <c r="A13" s="84" t="inlineStr">
        <is>
          <t>Отличники: 3</t>
        </is>
      </c>
    </row>
    <row r="14" ht="15" customHeight="1" s="57">
      <c r="A14" s="85" t="inlineStr">
        <is>
          <t>№</t>
        </is>
      </c>
      <c r="B14" s="85" t="inlineStr">
        <is>
          <t>ФИО</t>
        </is>
      </c>
      <c r="C14" s="85" t="inlineStr">
        <is>
          <t>Алгебра</t>
        </is>
      </c>
      <c r="D14" s="85" t="inlineStr">
        <is>
          <t>Итог % алг.</t>
        </is>
      </c>
      <c r="E14" s="85" t="inlineStr">
        <is>
          <t>Геометрия</t>
        </is>
      </c>
      <c r="F14" s="85" t="inlineStr">
        <is>
          <t>Итог % геом.</t>
        </is>
      </c>
    </row>
    <row r="15" ht="15" customHeight="1" s="57">
      <c r="A15" s="86" t="n">
        <v>1</v>
      </c>
      <c r="B15" s="87">
        <f>Четвертные!C13</f>
        <v/>
      </c>
      <c r="C15" s="86">
        <f>Четвертные!H13</f>
        <v/>
      </c>
      <c r="D15" s="88">
        <f>Четвертные!G13</f>
        <v/>
      </c>
      <c r="E15" s="86">
        <f>Четвертные!M13</f>
        <v/>
      </c>
      <c r="F15" s="88">
        <f>Четвертные!L13</f>
        <v/>
      </c>
    </row>
    <row r="16" ht="15" customHeight="1" s="57">
      <c r="A16" s="86" t="n">
        <v>2</v>
      </c>
      <c r="B16" s="87">
        <f>Четвертные!C14</f>
        <v/>
      </c>
      <c r="C16" s="86">
        <f>Четвертные!H14</f>
        <v/>
      </c>
      <c r="D16" s="88">
        <f>Четвертные!G14</f>
        <v/>
      </c>
      <c r="E16" s="86">
        <f>Четвертные!M14</f>
        <v/>
      </c>
      <c r="F16" s="88">
        <f>Четвертные!L14</f>
        <v/>
      </c>
    </row>
    <row r="17" ht="15" customHeight="1" s="57">
      <c r="A17" s="86" t="n">
        <v>3</v>
      </c>
      <c r="B17" s="87">
        <f>Четвертные!C17</f>
        <v/>
      </c>
      <c r="C17" s="86">
        <f>Четвертные!H17</f>
        <v/>
      </c>
      <c r="D17" s="88">
        <f>Четвертные!G17</f>
        <v/>
      </c>
      <c r="E17" s="86">
        <f>Четвертные!M17</f>
        <v/>
      </c>
      <c r="F17" s="88">
        <f>Четвертные!L17</f>
        <v/>
      </c>
    </row>
    <row r="19" ht="15" customHeight="1" s="57">
      <c r="A19" s="84" t="inlineStr">
        <is>
          <t>Хорошисты: 8</t>
        </is>
      </c>
    </row>
    <row r="20" ht="15" customHeight="1" s="57">
      <c r="A20" s="89" t="inlineStr">
        <is>
          <t>№</t>
        </is>
      </c>
      <c r="B20" s="89" t="inlineStr">
        <is>
          <t>ФИО</t>
        </is>
      </c>
      <c r="C20" s="89" t="inlineStr">
        <is>
          <t>Алгебра</t>
        </is>
      </c>
      <c r="D20" s="89" t="inlineStr">
        <is>
          <t>Итог % алг.</t>
        </is>
      </c>
      <c r="E20" s="89" t="inlineStr">
        <is>
          <t>Геометрия</t>
        </is>
      </c>
      <c r="F20" s="89" t="inlineStr">
        <is>
          <t>Итог % геом.</t>
        </is>
      </c>
    </row>
    <row r="21" ht="15" customHeight="1" s="57">
      <c r="A21" s="86" t="n">
        <v>1</v>
      </c>
      <c r="B21" s="87">
        <f>Четвертные!C4</f>
        <v/>
      </c>
      <c r="C21" s="86">
        <f>Четвертные!H4</f>
        <v/>
      </c>
      <c r="D21" s="88">
        <f>Четвертные!G4</f>
        <v/>
      </c>
      <c r="E21" s="86">
        <f>Четвертные!M4</f>
        <v/>
      </c>
      <c r="F21" s="88">
        <f>Четвертные!L4</f>
        <v/>
      </c>
    </row>
    <row r="22" ht="15" customHeight="1" s="57">
      <c r="A22" s="86" t="n">
        <v>2</v>
      </c>
      <c r="B22" s="87">
        <f>Четвертные!C5</f>
        <v/>
      </c>
      <c r="C22" s="86">
        <f>Четвертные!H5</f>
        <v/>
      </c>
      <c r="D22" s="88">
        <f>Четвертные!G5</f>
        <v/>
      </c>
      <c r="E22" s="86">
        <f>Четвертные!M5</f>
        <v/>
      </c>
      <c r="F22" s="88">
        <f>Четвертные!L5</f>
        <v/>
      </c>
    </row>
    <row r="23" ht="15" customHeight="1" s="57">
      <c r="A23" s="86" t="n">
        <v>3</v>
      </c>
      <c r="B23" s="87">
        <f>Четвертные!C6</f>
        <v/>
      </c>
      <c r="C23" s="86">
        <f>Четвертные!H6</f>
        <v/>
      </c>
      <c r="D23" s="88">
        <f>Четвертные!G6</f>
        <v/>
      </c>
      <c r="E23" s="86">
        <f>Четвертные!M6</f>
        <v/>
      </c>
      <c r="F23" s="88">
        <f>Четвертные!L6</f>
        <v/>
      </c>
    </row>
    <row r="24" ht="15" customHeight="1" s="57">
      <c r="A24" s="86" t="n">
        <v>4</v>
      </c>
      <c r="B24" s="87">
        <f>Четвертные!C7</f>
        <v/>
      </c>
      <c r="C24" s="86">
        <f>Четвертные!H7</f>
        <v/>
      </c>
      <c r="D24" s="88">
        <f>Четвертные!G7</f>
        <v/>
      </c>
      <c r="E24" s="86">
        <f>Четвертные!M7</f>
        <v/>
      </c>
      <c r="F24" s="88">
        <f>Четвертные!L7</f>
        <v/>
      </c>
    </row>
    <row r="25" ht="15" customHeight="1" s="57">
      <c r="A25" s="86" t="n">
        <v>5</v>
      </c>
      <c r="B25" s="87">
        <f>Четвертные!C8</f>
        <v/>
      </c>
      <c r="C25" s="86">
        <f>Четвертные!H8</f>
        <v/>
      </c>
      <c r="D25" s="88">
        <f>Четвертные!G8</f>
        <v/>
      </c>
      <c r="E25" s="86">
        <f>Четвертные!M8</f>
        <v/>
      </c>
      <c r="F25" s="88">
        <f>Четвертные!L8</f>
        <v/>
      </c>
    </row>
    <row r="26" ht="15" customHeight="1" s="57">
      <c r="A26" s="86" t="n">
        <v>6</v>
      </c>
      <c r="B26" s="87">
        <f>Четвертные!C11</f>
        <v/>
      </c>
      <c r="C26" s="86">
        <f>Четвертные!H11</f>
        <v/>
      </c>
      <c r="D26" s="88">
        <f>Четвертные!G11</f>
        <v/>
      </c>
      <c r="E26" s="86">
        <f>Четвертные!M11</f>
        <v/>
      </c>
      <c r="F26" s="88">
        <f>Четвертные!L11</f>
        <v/>
      </c>
    </row>
    <row r="27" ht="15" customHeight="1" s="57">
      <c r="A27" s="86" t="n">
        <v>7</v>
      </c>
      <c r="B27" s="87">
        <f>Четвертные!C12</f>
        <v/>
      </c>
      <c r="C27" s="86">
        <f>Четвертные!H12</f>
        <v/>
      </c>
      <c r="D27" s="88">
        <f>Четвертные!G12</f>
        <v/>
      </c>
      <c r="E27" s="86">
        <f>Четвертные!M12</f>
        <v/>
      </c>
      <c r="F27" s="88">
        <f>Четвертные!L12</f>
        <v/>
      </c>
    </row>
    <row r="28" ht="15" customHeight="1" s="57">
      <c r="A28" s="86" t="n">
        <v>8</v>
      </c>
      <c r="B28" s="87">
        <f>Четвертные!C15</f>
        <v/>
      </c>
      <c r="C28" s="86">
        <f>Четвертные!H15</f>
        <v/>
      </c>
      <c r="D28" s="88">
        <f>Четвертные!G15</f>
        <v/>
      </c>
      <c r="E28" s="86">
        <f>Четвертные!M15</f>
        <v/>
      </c>
      <c r="F28" s="88">
        <f>Четвертные!L15</f>
        <v/>
      </c>
    </row>
    <row r="31" ht="15" customHeight="1" s="57">
      <c r="A31" s="83" t="inlineStr">
        <is>
          <t>8Б класс</t>
        </is>
      </c>
    </row>
    <row r="32" ht="15" customHeight="1" s="57">
      <c r="A32" s="84" t="inlineStr">
        <is>
          <t>Отличники: 1</t>
        </is>
      </c>
    </row>
    <row r="33" ht="15" customHeight="1" s="57">
      <c r="A33" s="85" t="inlineStr">
        <is>
          <t>№</t>
        </is>
      </c>
      <c r="B33" s="85" t="inlineStr">
        <is>
          <t>ФИО</t>
        </is>
      </c>
      <c r="C33" s="85" t="inlineStr">
        <is>
          <t>Алгебра</t>
        </is>
      </c>
      <c r="D33" s="85" t="inlineStr">
        <is>
          <t>Итог % алг.</t>
        </is>
      </c>
      <c r="E33" s="85" t="inlineStr">
        <is>
          <t>Геометрия</t>
        </is>
      </c>
      <c r="F33" s="85" t="inlineStr">
        <is>
          <t>Итог % геом.</t>
        </is>
      </c>
    </row>
    <row r="34" ht="15" customHeight="1" s="57">
      <c r="A34" s="86" t="n">
        <v>1</v>
      </c>
      <c r="B34" s="87">
        <f>Четвертные!C26</f>
        <v/>
      </c>
      <c r="C34" s="86">
        <f>Четвертные!H26</f>
        <v/>
      </c>
      <c r="D34" s="88">
        <f>Четвертные!G26</f>
        <v/>
      </c>
      <c r="E34" s="86">
        <f>Четвертные!M26</f>
        <v/>
      </c>
      <c r="F34" s="88">
        <f>Четвертные!L26</f>
        <v/>
      </c>
    </row>
    <row r="36" ht="15" customHeight="1" s="57">
      <c r="A36" s="84" t="inlineStr">
        <is>
          <t>Хорошисты: 7</t>
        </is>
      </c>
    </row>
    <row r="37" ht="15" customHeight="1" s="57">
      <c r="A37" s="89" t="inlineStr">
        <is>
          <t>№</t>
        </is>
      </c>
      <c r="B37" s="89" t="inlineStr">
        <is>
          <t>ФИО</t>
        </is>
      </c>
      <c r="C37" s="89" t="inlineStr">
        <is>
          <t>Алгебра</t>
        </is>
      </c>
      <c r="D37" s="89" t="inlineStr">
        <is>
          <t>Итог % алг.</t>
        </is>
      </c>
      <c r="E37" s="89" t="inlineStr">
        <is>
          <t>Геометрия</t>
        </is>
      </c>
      <c r="F37" s="89" t="inlineStr">
        <is>
          <t>Итог % геом.</t>
        </is>
      </c>
    </row>
    <row r="38" ht="15" customHeight="1" s="57">
      <c r="A38" s="86" t="n">
        <v>1</v>
      </c>
      <c r="B38" s="87">
        <f>Четвертные!C19</f>
        <v/>
      </c>
      <c r="C38" s="86">
        <f>Четвертные!H19</f>
        <v/>
      </c>
      <c r="D38" s="88">
        <f>Четвертные!G19</f>
        <v/>
      </c>
      <c r="E38" s="86">
        <f>Четвертные!M19</f>
        <v/>
      </c>
      <c r="F38" s="88">
        <f>Четвертные!L19</f>
        <v/>
      </c>
    </row>
    <row r="39" ht="15" customHeight="1" s="57">
      <c r="A39" s="86" t="n">
        <v>2</v>
      </c>
      <c r="B39" s="87">
        <f>Четвертные!C20</f>
        <v/>
      </c>
      <c r="C39" s="86">
        <f>Четвертные!H20</f>
        <v/>
      </c>
      <c r="D39" s="88">
        <f>Четвертные!G20</f>
        <v/>
      </c>
      <c r="E39" s="86">
        <f>Четвертные!M20</f>
        <v/>
      </c>
      <c r="F39" s="88">
        <f>Четвертные!L20</f>
        <v/>
      </c>
    </row>
    <row r="40" ht="15" customHeight="1" s="57">
      <c r="A40" s="86" t="n">
        <v>3</v>
      </c>
      <c r="B40" s="87">
        <f>Четвертные!C23</f>
        <v/>
      </c>
      <c r="C40" s="86">
        <f>Четвертные!H23</f>
        <v/>
      </c>
      <c r="D40" s="88">
        <f>Четвертные!G23</f>
        <v/>
      </c>
      <c r="E40" s="86">
        <f>Четвертные!M23</f>
        <v/>
      </c>
      <c r="F40" s="88">
        <f>Четвертные!L23</f>
        <v/>
      </c>
    </row>
    <row r="41" ht="15" customHeight="1" s="57">
      <c r="A41" s="86" t="n">
        <v>4</v>
      </c>
      <c r="B41" s="87">
        <f>Четвертные!C24</f>
        <v/>
      </c>
      <c r="C41" s="86">
        <f>Четвертные!H24</f>
        <v/>
      </c>
      <c r="D41" s="88">
        <f>Четвертные!G24</f>
        <v/>
      </c>
      <c r="E41" s="86">
        <f>Четвертные!M24</f>
        <v/>
      </c>
      <c r="F41" s="88">
        <f>Четвертные!L24</f>
        <v/>
      </c>
    </row>
    <row r="42" ht="15" customHeight="1" s="57">
      <c r="A42" s="86" t="n">
        <v>5</v>
      </c>
      <c r="B42" s="87">
        <f>Четвертные!C25</f>
        <v/>
      </c>
      <c r="C42" s="86">
        <f>Четвертные!H25</f>
        <v/>
      </c>
      <c r="D42" s="88">
        <f>Четвертные!G25</f>
        <v/>
      </c>
      <c r="E42" s="86">
        <f>Четвертные!M25</f>
        <v/>
      </c>
      <c r="F42" s="88">
        <f>Четвертные!L25</f>
        <v/>
      </c>
    </row>
    <row r="43" ht="15" customHeight="1" s="57">
      <c r="A43" s="86" t="n">
        <v>6</v>
      </c>
      <c r="B43" s="87">
        <f>Четвертные!C27</f>
        <v/>
      </c>
      <c r="C43" s="86">
        <f>Четвертные!H27</f>
        <v/>
      </c>
      <c r="D43" s="88">
        <f>Четвертные!G27</f>
        <v/>
      </c>
      <c r="E43" s="86">
        <f>Четвертные!M27</f>
        <v/>
      </c>
      <c r="F43" s="88">
        <f>Четвертные!L27</f>
        <v/>
      </c>
    </row>
    <row r="44">
      <c r="A44" t="n">
        <v>7</v>
      </c>
      <c r="B44">
        <f>Четвертные!C22</f>
        <v/>
      </c>
      <c r="C44">
        <f>Четвертные!H22</f>
        <v/>
      </c>
      <c r="D44">
        <f>Четвертные!G22</f>
        <v/>
      </c>
      <c r="E44">
        <f>Четвертные!M22</f>
        <v/>
      </c>
      <c r="F44">
        <f>Четвертные!L22</f>
        <v/>
      </c>
    </row>
    <row r="45" ht="15" customHeight="1" s="57">
      <c r="A45" s="84" t="inlineStr">
        <is>
          <t>Резерв — одна «3» (можно подтянуть до хорошистов): 0</t>
        </is>
      </c>
    </row>
    <row r="46" ht="15" customHeight="1" s="57">
      <c r="A46" s="90" t="inlineStr">
        <is>
          <t>№</t>
        </is>
      </c>
      <c r="B46" s="90" t="inlineStr">
        <is>
          <t>ФИО</t>
        </is>
      </c>
      <c r="C46" s="90" t="inlineStr">
        <is>
          <t>Алгебра</t>
        </is>
      </c>
      <c r="D46" s="90" t="inlineStr">
        <is>
          <t>Итог % алг.</t>
        </is>
      </c>
      <c r="E46" s="90" t="inlineStr">
        <is>
          <t>Геометрия</t>
        </is>
      </c>
      <c r="F46" s="90" t="inlineStr">
        <is>
          <t>Итог % геом.</t>
        </is>
      </c>
    </row>
    <row r="47" ht="15" customHeight="1" s="57">
      <c r="A47" s="86" t="n"/>
      <c r="B47" s="87" t="n"/>
      <c r="C47" s="86" t="n"/>
      <c r="D47" s="88" t="n"/>
      <c r="E47" s="86" t="n"/>
      <c r="F47" s="88" t="n"/>
    </row>
    <row r="50" ht="15" customHeight="1" s="57">
      <c r="A50" s="83" t="inlineStr">
        <is>
          <t>9Б класс</t>
        </is>
      </c>
    </row>
    <row r="51" ht="15" customHeight="1" s="57">
      <c r="A51" s="84" t="inlineStr">
        <is>
          <t>Отличники: 4</t>
        </is>
      </c>
    </row>
    <row r="52" ht="15" customHeight="1" s="57">
      <c r="A52" s="85" t="inlineStr">
        <is>
          <t>№</t>
        </is>
      </c>
      <c r="B52" s="85" t="inlineStr">
        <is>
          <t>ФИО</t>
        </is>
      </c>
      <c r="C52" s="85" t="inlineStr">
        <is>
          <t>Алгебра</t>
        </is>
      </c>
      <c r="D52" s="85" t="inlineStr">
        <is>
          <t>Итог % алг.</t>
        </is>
      </c>
      <c r="E52" s="85" t="inlineStr">
        <is>
          <t>Геометрия</t>
        </is>
      </c>
      <c r="F52" s="85" t="inlineStr">
        <is>
          <t>Итог % геом.</t>
        </is>
      </c>
    </row>
    <row r="53" ht="15" customHeight="1" s="57">
      <c r="A53" s="86" t="n">
        <v>1</v>
      </c>
      <c r="B53" s="87">
        <f>Четвертные!C31</f>
        <v/>
      </c>
      <c r="C53" s="86">
        <f>Четвертные!H31</f>
        <v/>
      </c>
      <c r="D53" s="88">
        <f>Четвертные!G31</f>
        <v/>
      </c>
      <c r="E53" s="86">
        <f>Четвертные!M31</f>
        <v/>
      </c>
      <c r="F53" s="88">
        <f>Четвертные!L31</f>
        <v/>
      </c>
    </row>
    <row r="54" ht="15" customHeight="1" s="57">
      <c r="A54" s="86" t="n">
        <v>2</v>
      </c>
      <c r="B54" s="87">
        <f>Четвертные!C42</f>
        <v/>
      </c>
      <c r="C54" s="86">
        <f>Четвертные!H42</f>
        <v/>
      </c>
      <c r="D54" s="88">
        <f>Четвертные!G42</f>
        <v/>
      </c>
      <c r="E54" s="86">
        <f>Четвертные!M42</f>
        <v/>
      </c>
      <c r="F54" s="88">
        <f>Четвертные!L42</f>
        <v/>
      </c>
    </row>
    <row r="55" ht="15" customHeight="1" s="57">
      <c r="A55" s="86" t="n">
        <v>3</v>
      </c>
      <c r="B55" s="87">
        <f>Четвертные!C46</f>
        <v/>
      </c>
      <c r="C55" s="86">
        <f>Четвертные!H46</f>
        <v/>
      </c>
      <c r="D55" s="88">
        <f>Четвертные!G46</f>
        <v/>
      </c>
      <c r="E55" s="86">
        <f>Четвертные!M46</f>
        <v/>
      </c>
      <c r="F55" s="88">
        <f>Четвертные!L46</f>
        <v/>
      </c>
    </row>
    <row r="56" ht="15" customHeight="1" s="57">
      <c r="A56" s="86" t="n">
        <v>4</v>
      </c>
      <c r="B56" s="87">
        <f>Четвертные!C48</f>
        <v/>
      </c>
      <c r="C56" s="86">
        <f>Четвертные!H48</f>
        <v/>
      </c>
      <c r="D56" s="88">
        <f>Четвертные!G48</f>
        <v/>
      </c>
      <c r="E56" s="86">
        <f>Четвертные!M48</f>
        <v/>
      </c>
      <c r="F56" s="88">
        <f>Четвертные!L48</f>
        <v/>
      </c>
    </row>
    <row r="58" ht="15" customHeight="1" s="57">
      <c r="A58" s="84" t="inlineStr">
        <is>
          <t>Хорошисты: 11</t>
        </is>
      </c>
    </row>
    <row r="59" ht="15" customHeight="1" s="57">
      <c r="A59" s="89" t="inlineStr">
        <is>
          <t>№</t>
        </is>
      </c>
      <c r="B59" s="89" t="inlineStr">
        <is>
          <t>ФИО</t>
        </is>
      </c>
      <c r="C59" s="89" t="inlineStr">
        <is>
          <t>Алгебра</t>
        </is>
      </c>
      <c r="D59" s="89" t="inlineStr">
        <is>
          <t>Итог % алг.</t>
        </is>
      </c>
      <c r="E59" s="89" t="inlineStr">
        <is>
          <t>Геометрия</t>
        </is>
      </c>
      <c r="F59" s="89" t="inlineStr">
        <is>
          <t>Итог % геом.</t>
        </is>
      </c>
    </row>
    <row r="60" ht="15" customHeight="1" s="57">
      <c r="A60" s="86" t="n">
        <v>1</v>
      </c>
      <c r="B60" s="87">
        <f>Четвертные!C32</f>
        <v/>
      </c>
      <c r="C60" s="86">
        <f>Четвертные!H32</f>
        <v/>
      </c>
      <c r="D60" s="88">
        <f>Четвертные!G32</f>
        <v/>
      </c>
      <c r="E60" s="86">
        <f>Четвертные!M32</f>
        <v/>
      </c>
      <c r="F60" s="88">
        <f>Четвертные!L32</f>
        <v/>
      </c>
    </row>
    <row r="61" ht="15" customHeight="1" s="57">
      <c r="A61" s="86" t="n">
        <v>2</v>
      </c>
      <c r="B61" s="87">
        <f>Четвертные!C33</f>
        <v/>
      </c>
      <c r="C61" s="86">
        <f>Четвертные!H33</f>
        <v/>
      </c>
      <c r="D61" s="88">
        <f>Четвертные!G33</f>
        <v/>
      </c>
      <c r="E61" s="86">
        <f>Четвертные!M33</f>
        <v/>
      </c>
      <c r="F61" s="88">
        <f>Четвертные!L33</f>
        <v/>
      </c>
    </row>
    <row r="62" ht="15" customHeight="1" s="57">
      <c r="A62" s="86" t="n">
        <v>3</v>
      </c>
      <c r="B62" s="87">
        <f>Четвертные!C34</f>
        <v/>
      </c>
      <c r="C62" s="86">
        <f>Четвертные!H34</f>
        <v/>
      </c>
      <c r="D62" s="88">
        <f>Четвертные!G34</f>
        <v/>
      </c>
      <c r="E62" s="86">
        <f>Четвертные!M34</f>
        <v/>
      </c>
      <c r="F62" s="88">
        <f>Четвертные!L34</f>
        <v/>
      </c>
    </row>
    <row r="63" ht="15" customHeight="1" s="57">
      <c r="A63" s="86" t="n">
        <v>4</v>
      </c>
      <c r="B63" s="87">
        <f>Четвертные!C35</f>
        <v/>
      </c>
      <c r="C63" s="86">
        <f>Четвертные!H35</f>
        <v/>
      </c>
      <c r="D63" s="88">
        <f>Четвертные!G35</f>
        <v/>
      </c>
      <c r="E63" s="86">
        <f>Четвертные!M35</f>
        <v/>
      </c>
      <c r="F63" s="88">
        <f>Четвертные!L35</f>
        <v/>
      </c>
    </row>
    <row r="64" ht="15" customHeight="1" s="57">
      <c r="A64" s="86" t="n">
        <v>5</v>
      </c>
      <c r="B64" s="87">
        <f>Четвертные!C36</f>
        <v/>
      </c>
      <c r="C64" s="86">
        <f>Четвертные!H36</f>
        <v/>
      </c>
      <c r="D64" s="88">
        <f>Четвертные!G36</f>
        <v/>
      </c>
      <c r="E64" s="86">
        <f>Четвертные!M36</f>
        <v/>
      </c>
      <c r="F64" s="88">
        <f>Четвертные!L36</f>
        <v/>
      </c>
    </row>
    <row r="65" ht="15" customHeight="1" s="57">
      <c r="A65" s="86" t="n">
        <v>6</v>
      </c>
      <c r="B65" s="87">
        <f>Четвертные!C40</f>
        <v/>
      </c>
      <c r="C65" s="86">
        <f>Четвертные!H40</f>
        <v/>
      </c>
      <c r="D65" s="88">
        <f>Четвертные!G40</f>
        <v/>
      </c>
      <c r="E65" s="86">
        <f>Четвертные!M40</f>
        <v/>
      </c>
      <c r="F65" s="88">
        <f>Четвертные!L40</f>
        <v/>
      </c>
    </row>
    <row r="66" ht="15" customHeight="1" s="57">
      <c r="A66" s="86" t="n">
        <v>7</v>
      </c>
      <c r="B66" s="87">
        <f>Четвертные!C41</f>
        <v/>
      </c>
      <c r="C66" s="86">
        <f>Четвертные!H41</f>
        <v/>
      </c>
      <c r="D66" s="88">
        <f>Четвертные!G41</f>
        <v/>
      </c>
      <c r="E66" s="86">
        <f>Четвертные!M41</f>
        <v/>
      </c>
      <c r="F66" s="88">
        <f>Четвертные!L41</f>
        <v/>
      </c>
    </row>
    <row r="67" ht="15" customHeight="1" s="57">
      <c r="A67" s="86" t="n">
        <v>8</v>
      </c>
      <c r="B67" s="87">
        <f>Четвертные!C43</f>
        <v/>
      </c>
      <c r="C67" s="86">
        <f>Четвертные!H43</f>
        <v/>
      </c>
      <c r="D67" s="88">
        <f>Четвертные!G43</f>
        <v/>
      </c>
      <c r="E67" s="86">
        <f>Четвертные!M43</f>
        <v/>
      </c>
      <c r="F67" s="88">
        <f>Четвертные!L43</f>
        <v/>
      </c>
    </row>
    <row r="68" ht="15" customHeight="1" s="57">
      <c r="A68" s="86" t="n">
        <v>9</v>
      </c>
      <c r="B68" s="87">
        <f>Четвертные!C44</f>
        <v/>
      </c>
      <c r="C68" s="86">
        <f>Четвертные!H44</f>
        <v/>
      </c>
      <c r="D68" s="88">
        <f>Четвертные!G44</f>
        <v/>
      </c>
      <c r="E68" s="86">
        <f>Четвертные!M44</f>
        <v/>
      </c>
      <c r="F68" s="88">
        <f>Четвертные!L44</f>
        <v/>
      </c>
    </row>
    <row r="69" ht="15" customHeight="1" s="57">
      <c r="A69" s="86" t="n">
        <v>10</v>
      </c>
      <c r="B69" s="87">
        <f>Четвертные!C49</f>
        <v/>
      </c>
      <c r="C69" s="86">
        <f>Четвертные!H49</f>
        <v/>
      </c>
      <c r="D69" s="88">
        <f>Четвертные!G49</f>
        <v/>
      </c>
      <c r="E69" s="86">
        <f>Четвертные!M49</f>
        <v/>
      </c>
      <c r="F69" s="88">
        <f>Четвертные!L49</f>
        <v/>
      </c>
    </row>
    <row r="70" ht="15" customHeight="1" s="57">
      <c r="A70" s="86" t="n">
        <v>11</v>
      </c>
      <c r="B70" s="87">
        <f>Четвертные!C50</f>
        <v/>
      </c>
      <c r="C70" s="86">
        <f>Четвертные!H50</f>
        <v/>
      </c>
      <c r="D70" s="88">
        <f>Четвертные!G50</f>
        <v/>
      </c>
      <c r="E70" s="86">
        <f>Четвертные!M50</f>
        <v/>
      </c>
      <c r="F70" s="88">
        <f>Четвертные!L50</f>
        <v/>
      </c>
    </row>
    <row r="72" ht="15" customHeight="1" s="57">
      <c r="A72" s="84" t="inlineStr">
        <is>
          <t>Резерв — одна «3» (можно подтянуть до хорошистов): 2</t>
        </is>
      </c>
    </row>
    <row r="73" ht="15" customHeight="1" s="57">
      <c r="A73" s="90" t="inlineStr">
        <is>
          <t>№</t>
        </is>
      </c>
      <c r="B73" s="90" t="inlineStr">
        <is>
          <t>ФИО</t>
        </is>
      </c>
      <c r="C73" s="90" t="inlineStr">
        <is>
          <t>Алгебра</t>
        </is>
      </c>
      <c r="D73" s="90" t="inlineStr">
        <is>
          <t>Итог % алг.</t>
        </is>
      </c>
      <c r="E73" s="90" t="inlineStr">
        <is>
          <t>Геометрия</t>
        </is>
      </c>
      <c r="F73" s="90" t="inlineStr">
        <is>
          <t>Итог % геом.</t>
        </is>
      </c>
    </row>
    <row r="74" ht="15" customHeight="1" s="57">
      <c r="A74" s="86" t="n">
        <v>1</v>
      </c>
      <c r="B74" s="87">
        <f>Четвертные!C38</f>
        <v/>
      </c>
      <c r="C74" s="86">
        <f>Четвертные!H38</f>
        <v/>
      </c>
      <c r="D74" s="88">
        <f>Четвертные!G38</f>
        <v/>
      </c>
      <c r="E74" s="86">
        <f>Четвертные!M38</f>
        <v/>
      </c>
      <c r="F74" s="88">
        <f>Четвертные!L38</f>
        <v/>
      </c>
    </row>
    <row r="75" ht="15" customHeight="1" s="57">
      <c r="A75" s="86" t="n">
        <v>2</v>
      </c>
      <c r="B75" s="87">
        <f>Четвертные!C39</f>
        <v/>
      </c>
      <c r="C75" s="86">
        <f>Четвертные!H39</f>
        <v/>
      </c>
      <c r="D75" s="88">
        <f>Четвертные!G39</f>
        <v/>
      </c>
      <c r="E75" s="86">
        <f>Четвертные!M39</f>
        <v/>
      </c>
      <c r="F75" s="88">
        <f>Четвертные!L39</f>
        <v/>
      </c>
    </row>
    <row r="78" ht="15" customHeight="1" s="57">
      <c r="A78" s="83" t="inlineStr">
        <is>
          <t>10А класс</t>
        </is>
      </c>
    </row>
    <row r="79" ht="15" customHeight="1" s="57">
      <c r="A79" s="84" t="inlineStr">
        <is>
          <t>Отличники: 3</t>
        </is>
      </c>
    </row>
    <row r="80" ht="15" customHeight="1" s="57">
      <c r="A80" s="85" t="inlineStr">
        <is>
          <t>№</t>
        </is>
      </c>
      <c r="B80" s="85" t="inlineStr">
        <is>
          <t>ФИО</t>
        </is>
      </c>
      <c r="C80" s="85" t="inlineStr">
        <is>
          <t>Алгебра</t>
        </is>
      </c>
      <c r="D80" s="85" t="inlineStr">
        <is>
          <t>Итог % алг.</t>
        </is>
      </c>
      <c r="E80" s="85" t="inlineStr">
        <is>
          <t>Геометрия</t>
        </is>
      </c>
      <c r="F80" s="85" t="inlineStr">
        <is>
          <t>Итог % геом.</t>
        </is>
      </c>
    </row>
    <row r="81" ht="15" customHeight="1" s="57">
      <c r="A81" s="86" t="n">
        <v>1</v>
      </c>
      <c r="B81" s="87">
        <f>Четвертные!C51</f>
        <v/>
      </c>
      <c r="C81" s="86">
        <f>Четвертные!H51</f>
        <v/>
      </c>
      <c r="D81" s="88">
        <f>Четвертные!G51</f>
        <v/>
      </c>
      <c r="E81" s="86">
        <f>Четвертные!M51</f>
        <v/>
      </c>
      <c r="F81" s="88">
        <f>Четвертные!L51</f>
        <v/>
      </c>
    </row>
    <row r="82" ht="15" customHeight="1" s="57">
      <c r="A82" s="86" t="n">
        <v>2</v>
      </c>
      <c r="B82" s="87">
        <f>Четвертные!C54</f>
        <v/>
      </c>
      <c r="C82" s="86">
        <f>Четвертные!H54</f>
        <v/>
      </c>
      <c r="D82" s="88">
        <f>Четвертные!G54</f>
        <v/>
      </c>
      <c r="E82" s="86">
        <f>Четвертные!M54</f>
        <v/>
      </c>
      <c r="F82" s="88">
        <f>Четвертные!L54</f>
        <v/>
      </c>
    </row>
    <row r="83" ht="15" customHeight="1" s="57">
      <c r="A83" s="86" t="n">
        <v>3</v>
      </c>
      <c r="B83" s="87">
        <f>Четвертные!C56</f>
        <v/>
      </c>
      <c r="C83" s="86">
        <f>Четвертные!H56</f>
        <v/>
      </c>
      <c r="D83" s="88">
        <f>Четвертные!G56</f>
        <v/>
      </c>
      <c r="E83" s="86">
        <f>Четвертные!M56</f>
        <v/>
      </c>
      <c r="F83" s="88">
        <f>Четвертные!L56</f>
        <v/>
      </c>
    </row>
    <row r="85" ht="15" customHeight="1" s="57">
      <c r="A85" s="84" t="inlineStr">
        <is>
          <t>Хорошисты: 4</t>
        </is>
      </c>
    </row>
    <row r="86" ht="15" customHeight="1" s="57">
      <c r="A86" s="89" t="inlineStr">
        <is>
          <t>№</t>
        </is>
      </c>
      <c r="B86" s="89" t="inlineStr">
        <is>
          <t>ФИО</t>
        </is>
      </c>
      <c r="C86" s="89" t="inlineStr">
        <is>
          <t>Алгебра</t>
        </is>
      </c>
      <c r="D86" s="89" t="inlineStr">
        <is>
          <t>Итог % алг.</t>
        </is>
      </c>
      <c r="E86" s="89" t="inlineStr">
        <is>
          <t>Геометрия</t>
        </is>
      </c>
      <c r="F86" s="89" t="inlineStr">
        <is>
          <t>Итог % геом.</t>
        </is>
      </c>
    </row>
    <row r="87" ht="15" customHeight="1" s="57">
      <c r="A87" s="86" t="n">
        <v>1</v>
      </c>
      <c r="B87" s="87">
        <f>Четвертные!C53</f>
        <v/>
      </c>
      <c r="C87" s="86">
        <f>Четвертные!H53</f>
        <v/>
      </c>
      <c r="D87" s="88">
        <f>Четвертные!G53</f>
        <v/>
      </c>
      <c r="E87" s="86">
        <f>Четвертные!M53</f>
        <v/>
      </c>
      <c r="F87" s="88">
        <f>Четвертные!L53</f>
        <v/>
      </c>
    </row>
    <row r="88" ht="15" customHeight="1" s="57">
      <c r="A88" s="86" t="n">
        <v>2</v>
      </c>
      <c r="B88" s="87">
        <f>Четвертные!C55</f>
        <v/>
      </c>
      <c r="C88" s="86">
        <f>Четвертные!H55</f>
        <v/>
      </c>
      <c r="D88" s="88">
        <f>Четвертные!G55</f>
        <v/>
      </c>
      <c r="E88" s="86">
        <f>Четвертные!M55</f>
        <v/>
      </c>
      <c r="F88" s="88">
        <f>Четвертные!L55</f>
        <v/>
      </c>
    </row>
    <row r="89" ht="15" customHeight="1" s="57">
      <c r="A89" s="86" t="n">
        <v>3</v>
      </c>
      <c r="B89" s="87">
        <f>Четвертные!C61</f>
        <v/>
      </c>
      <c r="C89" s="86">
        <f>Четвертные!H61</f>
        <v/>
      </c>
      <c r="D89" s="88">
        <f>Четвертные!G61</f>
        <v/>
      </c>
      <c r="E89" s="86">
        <f>Четвертные!M61</f>
        <v/>
      </c>
      <c r="F89" s="88">
        <f>Четвертные!L61</f>
        <v/>
      </c>
    </row>
    <row r="90" ht="15" customHeight="1" s="57">
      <c r="A90" s="86" t="n">
        <v>4</v>
      </c>
      <c r="B90" s="87">
        <f>Четвертные!C62</f>
        <v/>
      </c>
      <c r="C90" s="86">
        <f>Четвертные!H62</f>
        <v/>
      </c>
      <c r="D90" s="88">
        <f>Четвертные!G62</f>
        <v/>
      </c>
      <c r="E90" s="86">
        <f>Четвертные!M62</f>
        <v/>
      </c>
      <c r="F90" s="88">
        <f>Четвертные!L62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61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2" topLeftCell="A51" activePane="bottomLeft" state="frozen"/>
      <selection pane="topLeft" activeCell="A1" activeCellId="0" sqref="A1"/>
      <selection pane="bottomLeft" activeCell="E76" activeCellId="0" sqref="E76"/>
    </sheetView>
  </sheetViews>
  <sheetFormatPr baseColWidth="8" defaultColWidth="8.6796875" defaultRowHeight="15" customHeight="0" zeroHeight="0" outlineLevelRow="0"/>
  <cols>
    <col width="8" customWidth="1" style="56" min="1" max="1"/>
    <col width="30" customWidth="1" style="56" min="2" max="2"/>
    <col width="17" customWidth="1" style="56" min="3" max="4"/>
    <col width="18" customWidth="1" style="56" min="5" max="6"/>
    <col width="15" customWidth="1" style="56" min="7" max="7"/>
    <col width="14" customWidth="1" style="56" min="8" max="8"/>
  </cols>
  <sheetData>
    <row r="1" ht="17.25" customHeight="1" s="57">
      <c r="A1" s="91" t="inlineStr">
        <is>
          <t>Сводка оценок — 1 четверть 2026/2027 (на 20.10.2026)</t>
        </is>
      </c>
    </row>
    <row r="2" ht="23.25" customHeight="1" s="57">
      <c r="A2" s="92" t="inlineStr">
        <is>
          <t>Класс</t>
        </is>
      </c>
      <c r="B2" s="92" t="inlineStr">
        <is>
          <t>Ученик</t>
        </is>
      </c>
      <c r="C2" s="92" t="inlineStr">
        <is>
          <t>Алгебра (средний)</t>
        </is>
      </c>
      <c r="D2" s="92" t="inlineStr">
        <is>
          <t>Оценок по алгебре</t>
        </is>
      </c>
      <c r="E2" s="92" t="inlineStr">
        <is>
          <t>Геометрия (средний)</t>
        </is>
      </c>
      <c r="F2" s="92" t="inlineStr">
        <is>
          <t>Оценок по геометрии</t>
        </is>
      </c>
      <c r="G2" s="92" t="inlineStr">
        <is>
          <t>Общий средний</t>
        </is>
      </c>
      <c r="H2" s="92" t="inlineStr">
        <is>
          <t>Всего оценок</t>
        </is>
      </c>
    </row>
    <row r="3" ht="15" customHeight="1" s="57">
      <c r="A3" s="93" t="inlineStr">
        <is>
          <t>8А</t>
        </is>
      </c>
      <c r="B3" s="94" t="inlineStr">
        <is>
          <t>Абельдинова Жасмин</t>
        </is>
      </c>
      <c r="C3" s="93" t="n">
        <v>7.7</v>
      </c>
      <c r="D3" s="93" t="n">
        <v>14</v>
      </c>
      <c r="E3" s="93" t="n">
        <v>8.199999999999999</v>
      </c>
      <c r="F3" s="93" t="n">
        <v>10</v>
      </c>
      <c r="G3" s="93" t="n">
        <v>7.9</v>
      </c>
      <c r="H3" s="93" t="n">
        <v>24</v>
      </c>
    </row>
    <row r="4" ht="15" customHeight="1" s="57">
      <c r="A4" s="93" t="inlineStr">
        <is>
          <t>8А</t>
        </is>
      </c>
      <c r="B4" s="94" t="inlineStr">
        <is>
          <t>БЕРДНИКОВА ЕВГЕНИЯ</t>
        </is>
      </c>
      <c r="C4" s="93" t="n">
        <v>8.300000000000001</v>
      </c>
      <c r="D4" s="93" t="n">
        <v>18</v>
      </c>
      <c r="E4" s="93" t="n">
        <v>7.8</v>
      </c>
      <c r="F4" s="93" t="n">
        <v>11</v>
      </c>
      <c r="G4" s="93" t="n">
        <v>8.1</v>
      </c>
      <c r="H4" s="93" t="n">
        <v>29</v>
      </c>
    </row>
    <row r="5" ht="15" customHeight="1" s="57">
      <c r="A5" s="93" t="inlineStr">
        <is>
          <t>8А</t>
        </is>
      </c>
      <c r="B5" s="94" t="inlineStr">
        <is>
          <t>БЕРДНИКОВА ДАРЬЯ</t>
        </is>
      </c>
      <c r="C5" s="93" t="n">
        <v>7.2</v>
      </c>
      <c r="D5" s="93" t="n">
        <v>13</v>
      </c>
      <c r="E5" s="93" t="n">
        <v>7.5</v>
      </c>
      <c r="F5" s="93" t="n">
        <v>11</v>
      </c>
      <c r="G5" s="93" t="n">
        <v>7.4</v>
      </c>
      <c r="H5" s="93" t="n">
        <v>24</v>
      </c>
    </row>
    <row r="6" ht="15" customHeight="1" s="57">
      <c r="A6" s="93" t="inlineStr">
        <is>
          <t>8А</t>
        </is>
      </c>
      <c r="B6" s="94" t="inlineStr">
        <is>
          <t>БУЧКОВА МИЛАНА</t>
        </is>
      </c>
      <c r="C6" s="93" t="n">
        <v>8.800000000000001</v>
      </c>
      <c r="D6" s="93" t="n">
        <v>14</v>
      </c>
      <c r="E6" s="93" t="n">
        <v>8.1</v>
      </c>
      <c r="F6" s="93" t="n">
        <v>11</v>
      </c>
      <c r="G6" s="93" t="n">
        <v>8.5</v>
      </c>
      <c r="H6" s="93" t="n">
        <v>25</v>
      </c>
    </row>
    <row r="7" ht="15" customHeight="1" s="57">
      <c r="A7" s="93" t="inlineStr">
        <is>
          <t>8А</t>
        </is>
      </c>
      <c r="B7" s="94" t="inlineStr">
        <is>
          <t>ВАСИЛЬКОВСКИЙ ДАНИЛ</t>
        </is>
      </c>
      <c r="C7" s="93" t="n">
        <v>7</v>
      </c>
      <c r="D7" s="93" t="n">
        <v>17</v>
      </c>
      <c r="E7" s="93" t="n">
        <v>7.8</v>
      </c>
      <c r="F7" s="93" t="n">
        <v>11</v>
      </c>
      <c r="G7" s="93" t="n">
        <v>7.3</v>
      </c>
      <c r="H7" s="93" t="n">
        <v>28</v>
      </c>
    </row>
    <row r="8" ht="15" customHeight="1" s="57">
      <c r="A8" s="93" t="inlineStr">
        <is>
          <t>8А</t>
        </is>
      </c>
      <c r="B8" s="94" t="inlineStr">
        <is>
          <t>ГАЛИПАД ДАНИЛ</t>
        </is>
      </c>
      <c r="C8" s="93" t="n">
        <v>5.2</v>
      </c>
      <c r="D8" s="93" t="n">
        <v>15</v>
      </c>
      <c r="E8" s="93" t="n">
        <v>5.7</v>
      </c>
      <c r="F8" s="93" t="n">
        <v>10</v>
      </c>
      <c r="G8" s="93" t="n">
        <v>5.4</v>
      </c>
      <c r="H8" s="93" t="n">
        <v>25</v>
      </c>
    </row>
    <row r="9" ht="15" customHeight="1" s="57">
      <c r="A9" s="93" t="inlineStr">
        <is>
          <t>8А</t>
        </is>
      </c>
      <c r="B9" s="94" t="inlineStr">
        <is>
          <t>КИСМЕТЬЕВ ИСЛАМ</t>
        </is>
      </c>
      <c r="C9" s="93" t="n">
        <v>6.2</v>
      </c>
      <c r="D9" s="93" t="n">
        <v>13</v>
      </c>
      <c r="E9" s="93" t="n">
        <v>6</v>
      </c>
      <c r="F9" s="93" t="n">
        <v>9</v>
      </c>
      <c r="G9" s="93" t="n">
        <v>6.1</v>
      </c>
      <c r="H9" s="93" t="n">
        <v>22</v>
      </c>
    </row>
    <row r="10" ht="15" customHeight="1" s="57">
      <c r="A10" s="93" t="inlineStr">
        <is>
          <t>8А</t>
        </is>
      </c>
      <c r="B10" s="94" t="inlineStr">
        <is>
          <t>КОХ КОНДРАТ</t>
        </is>
      </c>
      <c r="C10" s="93" t="n">
        <v>7.5</v>
      </c>
      <c r="D10" s="93" t="n">
        <v>16</v>
      </c>
      <c r="E10" s="93" t="n">
        <v>8.4</v>
      </c>
      <c r="F10" s="93" t="n">
        <v>11</v>
      </c>
      <c r="G10" s="93" t="n">
        <v>7.9</v>
      </c>
      <c r="H10" s="93" t="n">
        <v>27</v>
      </c>
    </row>
    <row r="11" ht="15" customHeight="1" s="57">
      <c r="A11" s="93" t="inlineStr">
        <is>
          <t>8А</t>
        </is>
      </c>
      <c r="B11" s="94" t="inlineStr">
        <is>
          <t>КУЗНЕЦОВ РОМАН</t>
        </is>
      </c>
      <c r="C11" s="93" t="n">
        <v>6.6</v>
      </c>
      <c r="D11" s="93" t="n">
        <v>15</v>
      </c>
      <c r="E11" s="93" t="n">
        <v>6.8</v>
      </c>
      <c r="F11" s="93" t="n">
        <v>11</v>
      </c>
      <c r="G11" s="93" t="n">
        <v>6.7</v>
      </c>
      <c r="H11" s="93" t="n">
        <v>26</v>
      </c>
    </row>
    <row r="12" ht="15" customHeight="1" s="57">
      <c r="A12" s="93" t="inlineStr">
        <is>
          <t>8А</t>
        </is>
      </c>
      <c r="B12" s="94" t="inlineStr">
        <is>
          <t>ПАЗНИКОВА ДАНАЯ</t>
        </is>
      </c>
      <c r="C12" s="93" t="n">
        <v>9.300000000000001</v>
      </c>
      <c r="D12" s="93" t="n">
        <v>19</v>
      </c>
      <c r="E12" s="93" t="n">
        <v>9.800000000000001</v>
      </c>
      <c r="F12" s="93" t="n">
        <v>13</v>
      </c>
      <c r="G12" s="93" t="n">
        <v>9.5</v>
      </c>
      <c r="H12" s="93" t="n">
        <v>32</v>
      </c>
    </row>
    <row r="13" ht="15" customHeight="1" s="57">
      <c r="A13" s="93" t="inlineStr">
        <is>
          <t>8А</t>
        </is>
      </c>
      <c r="B13" s="94" t="inlineStr">
        <is>
          <t>ПОДОЛЬСКИЙ АРТЁМ</t>
        </is>
      </c>
      <c r="C13" s="93" t="n">
        <v>8.800000000000001</v>
      </c>
      <c r="D13" s="93" t="n">
        <v>17</v>
      </c>
      <c r="E13" s="93" t="n">
        <v>9.4</v>
      </c>
      <c r="F13" s="93" t="n">
        <v>12</v>
      </c>
      <c r="G13" s="93" t="n">
        <v>9.1</v>
      </c>
      <c r="H13" s="93" t="n">
        <v>29</v>
      </c>
    </row>
    <row r="14" ht="15" customHeight="1" s="57">
      <c r="A14" s="93" t="inlineStr">
        <is>
          <t>8А</t>
        </is>
      </c>
      <c r="B14" s="94" t="inlineStr">
        <is>
          <t>РАМЕНСКАЯ ВЕРОНИКА</t>
        </is>
      </c>
      <c r="C14" s="93" t="n">
        <v>7.9</v>
      </c>
      <c r="D14" s="93" t="n">
        <v>17</v>
      </c>
      <c r="E14" s="93" t="n">
        <v>8.4</v>
      </c>
      <c r="F14" s="93" t="n">
        <v>11</v>
      </c>
      <c r="G14" s="93" t="n">
        <v>8.1</v>
      </c>
      <c r="H14" s="93" t="n">
        <v>28</v>
      </c>
    </row>
    <row r="15" ht="15" customHeight="1" s="57">
      <c r="A15" s="93" t="inlineStr">
        <is>
          <t>8А</t>
        </is>
      </c>
      <c r="B15" s="94" t="inlineStr">
        <is>
          <t>РОМАЗЕЕВА АЛЁНА</t>
        </is>
      </c>
      <c r="C15" s="93" t="n">
        <v>6.8</v>
      </c>
      <c r="D15" s="93" t="n">
        <v>15</v>
      </c>
      <c r="E15" s="93" t="n">
        <v>6</v>
      </c>
      <c r="F15" s="93" t="n">
        <v>9</v>
      </c>
      <c r="G15" s="93" t="n">
        <v>6.5</v>
      </c>
      <c r="H15" s="93" t="n">
        <v>24</v>
      </c>
    </row>
    <row r="16" ht="15" customHeight="1" s="57">
      <c r="A16" s="93" t="inlineStr">
        <is>
          <t>8А</t>
        </is>
      </c>
      <c r="B16" s="94" t="inlineStr">
        <is>
          <t>Романишина Ульяна</t>
        </is>
      </c>
      <c r="C16" s="93" t="n">
        <v>9.199999999999999</v>
      </c>
      <c r="D16" s="93" t="n">
        <v>19</v>
      </c>
      <c r="E16" s="93" t="n">
        <v>9.699999999999999</v>
      </c>
      <c r="F16" s="93" t="n">
        <v>12</v>
      </c>
      <c r="G16" s="93" t="n">
        <v>9.4</v>
      </c>
      <c r="H16" s="93" t="n">
        <v>31</v>
      </c>
    </row>
    <row r="17" ht="15" customHeight="1" s="57">
      <c r="A17" s="93" t="inlineStr">
        <is>
          <t>8Б</t>
        </is>
      </c>
      <c r="B17" s="94" t="inlineStr">
        <is>
          <t>ГАЛЛЕ ВАЛЕРИЙ</t>
        </is>
      </c>
      <c r="C17" s="93" t="n">
        <v>6.9</v>
      </c>
      <c r="D17" s="93" t="n">
        <v>10</v>
      </c>
      <c r="E17" s="93" t="n">
        <v>6.6</v>
      </c>
      <c r="F17" s="93" t="n">
        <v>8</v>
      </c>
      <c r="G17" s="93" t="n">
        <v>6.8</v>
      </c>
      <c r="H17" s="93" t="n">
        <v>18</v>
      </c>
    </row>
    <row r="18" ht="15" customHeight="1" s="57">
      <c r="A18" s="93" t="inlineStr">
        <is>
          <t>8Б</t>
        </is>
      </c>
      <c r="B18" s="94" t="inlineStr">
        <is>
          <t>ДОЙНЕКО СОФИЯ</t>
        </is>
      </c>
      <c r="C18" s="93" t="n">
        <v>8.9</v>
      </c>
      <c r="D18" s="93" t="n">
        <v>14</v>
      </c>
      <c r="E18" s="93" t="n">
        <v>8.800000000000001</v>
      </c>
      <c r="F18" s="93" t="n">
        <v>11</v>
      </c>
      <c r="G18" s="93" t="n">
        <v>8.800000000000001</v>
      </c>
      <c r="H18" s="93" t="n">
        <v>25</v>
      </c>
    </row>
    <row r="19" ht="15" customHeight="1" s="57">
      <c r="A19" s="93" t="inlineStr">
        <is>
          <t>8Б</t>
        </is>
      </c>
      <c r="B19" s="94" t="inlineStr">
        <is>
          <t>ЖЕЛНИНА ВЕРА</t>
        </is>
      </c>
      <c r="C19" s="93" t="n">
        <v>7.6</v>
      </c>
      <c r="D19" s="93" t="n">
        <v>15</v>
      </c>
      <c r="E19" s="93" t="n">
        <v>7.6</v>
      </c>
      <c r="F19" s="93" t="n">
        <v>9</v>
      </c>
      <c r="G19" s="93" t="n">
        <v>7.6</v>
      </c>
      <c r="H19" s="93" t="n">
        <v>24</v>
      </c>
    </row>
    <row r="20" ht="15" customHeight="1" s="57">
      <c r="A20" s="93" t="inlineStr">
        <is>
          <t>8Б</t>
        </is>
      </c>
      <c r="B20" s="94" t="inlineStr">
        <is>
          <t>ПОТАНИН ВАЛЕРИЙ</t>
        </is>
      </c>
      <c r="C20" s="93" t="n">
        <v>5.6</v>
      </c>
      <c r="D20" s="93" t="n">
        <v>10</v>
      </c>
      <c r="E20" s="93" t="n">
        <v>5.3</v>
      </c>
      <c r="F20" s="93" t="n">
        <v>10</v>
      </c>
      <c r="G20" s="93" t="n">
        <v>5.5</v>
      </c>
      <c r="H20" s="93" t="n">
        <v>20</v>
      </c>
    </row>
    <row r="21" ht="15" customHeight="1" s="57">
      <c r="A21" s="93" t="inlineStr">
        <is>
          <t>8Б</t>
        </is>
      </c>
      <c r="B21" s="94" t="inlineStr">
        <is>
          <t>РОМАНОВА ЕВА</t>
        </is>
      </c>
      <c r="C21" s="93" t="n">
        <v>7.4</v>
      </c>
      <c r="D21" s="93" t="n">
        <v>17</v>
      </c>
      <c r="E21" s="93" t="n">
        <v>7</v>
      </c>
      <c r="F21" s="93" t="n">
        <v>10</v>
      </c>
      <c r="G21" s="93" t="n">
        <v>7.3</v>
      </c>
      <c r="H21" s="93" t="n">
        <v>27</v>
      </c>
    </row>
    <row r="22" ht="15" customHeight="1" s="57">
      <c r="A22" s="93" t="inlineStr">
        <is>
          <t>8Б</t>
        </is>
      </c>
      <c r="B22" s="94" t="inlineStr">
        <is>
          <t>САҒИТ ӘМІР</t>
        </is>
      </c>
      <c r="C22" s="93" t="n">
        <v>8.199999999999999</v>
      </c>
      <c r="D22" s="93" t="n">
        <v>14</v>
      </c>
      <c r="E22" s="93" t="n">
        <v>8.800000000000001</v>
      </c>
      <c r="F22" s="93" t="n">
        <v>10</v>
      </c>
      <c r="G22" s="93" t="n">
        <v>8.5</v>
      </c>
      <c r="H22" s="93" t="n">
        <v>24</v>
      </c>
    </row>
    <row r="23" ht="15" customHeight="1" s="57">
      <c r="A23" s="93" t="inlineStr">
        <is>
          <t>8Б</t>
        </is>
      </c>
      <c r="B23" s="94" t="inlineStr">
        <is>
          <t>ТОРЧИНСКИЙ МАТВЕЙ</t>
        </is>
      </c>
      <c r="C23" s="93" t="n">
        <v>7.1</v>
      </c>
      <c r="D23" s="93" t="n">
        <v>16</v>
      </c>
      <c r="E23" s="93" t="n">
        <v>7.1</v>
      </c>
      <c r="F23" s="93" t="n">
        <v>10</v>
      </c>
      <c r="G23" s="93" t="n">
        <v>7.1</v>
      </c>
      <c r="H23" s="93" t="n">
        <v>26</v>
      </c>
    </row>
    <row r="24" ht="15" customHeight="1" s="57">
      <c r="A24" s="93" t="inlineStr">
        <is>
          <t>8Б</t>
        </is>
      </c>
      <c r="B24" s="94" t="inlineStr">
        <is>
          <t>ФОМИН МАКСИМ</t>
        </is>
      </c>
      <c r="C24" s="93" t="n">
        <v>9.199999999999999</v>
      </c>
      <c r="D24" s="93" t="n">
        <v>14</v>
      </c>
      <c r="E24" s="93" t="n">
        <v>9</v>
      </c>
      <c r="F24" s="93" t="n">
        <v>10</v>
      </c>
      <c r="G24" s="93" t="n">
        <v>9.1</v>
      </c>
      <c r="H24" s="93" t="n">
        <v>24</v>
      </c>
    </row>
    <row r="25" ht="15" customHeight="1" s="57">
      <c r="A25" s="93" t="inlineStr">
        <is>
          <t>8Б</t>
        </is>
      </c>
      <c r="B25" s="94" t="inlineStr">
        <is>
          <t>ЧАЙКА ТАИСИЯ</t>
        </is>
      </c>
      <c r="C25" s="93" t="n">
        <v>9.9</v>
      </c>
      <c r="D25" s="93" t="n">
        <v>19</v>
      </c>
      <c r="E25" s="93" t="n">
        <v>10</v>
      </c>
      <c r="F25" s="93" t="n">
        <v>13</v>
      </c>
      <c r="G25" s="93" t="n">
        <v>9.9</v>
      </c>
      <c r="H25" s="93" t="n">
        <v>32</v>
      </c>
    </row>
    <row r="26" ht="15" customHeight="1" s="57">
      <c r="A26" s="93" t="inlineStr">
        <is>
          <t>8Б</t>
        </is>
      </c>
      <c r="B26" s="94" t="inlineStr">
        <is>
          <t>ШАРБАКПАЕВА АЙДАРИЯ</t>
        </is>
      </c>
      <c r="C26" s="93" t="n">
        <v>7.5</v>
      </c>
      <c r="D26" s="93" t="n">
        <v>15</v>
      </c>
      <c r="E26" s="93" t="n">
        <v>7.4</v>
      </c>
      <c r="F26" s="93" t="n">
        <v>9</v>
      </c>
      <c r="G26" s="93" t="n">
        <v>7.5</v>
      </c>
      <c r="H26" s="93" t="n">
        <v>24</v>
      </c>
    </row>
    <row r="27" ht="15" customHeight="1" s="57">
      <c r="A27" s="93" t="inlineStr">
        <is>
          <t>8Б</t>
        </is>
      </c>
      <c r="B27" s="94" t="inlineStr">
        <is>
          <t>ШАРИПОВА ВЕРА</t>
        </is>
      </c>
      <c r="C27" s="93" t="n">
        <v>7</v>
      </c>
      <c r="D27" s="93" t="n">
        <v>12</v>
      </c>
      <c r="E27" s="93" t="n">
        <v>7</v>
      </c>
      <c r="F27" s="93" t="n">
        <v>9</v>
      </c>
      <c r="G27" s="93" t="n">
        <v>7</v>
      </c>
      <c r="H27" s="93" t="n">
        <v>21</v>
      </c>
    </row>
    <row r="28" ht="15" customHeight="1" s="57">
      <c r="A28" s="93" t="inlineStr">
        <is>
          <t>8Б</t>
        </is>
      </c>
      <c r="B28" s="94" t="inlineStr">
        <is>
          <t>ШИШ АРТЁМ</t>
        </is>
      </c>
      <c r="C28" s="93" t="n">
        <v>6.5</v>
      </c>
      <c r="D28" s="93" t="n">
        <v>16</v>
      </c>
      <c r="E28" s="93" t="n">
        <v>6.8</v>
      </c>
      <c r="F28" s="93" t="n">
        <v>8</v>
      </c>
      <c r="G28" s="93" t="n">
        <v>6.6</v>
      </c>
      <c r="H28" s="93" t="n">
        <v>24</v>
      </c>
    </row>
    <row r="29" ht="15" customHeight="1" s="57">
      <c r="A29" s="93" t="inlineStr">
        <is>
          <t>8Б</t>
        </is>
      </c>
      <c r="B29" s="94" t="inlineStr">
        <is>
          <t>ЩЕГЛОВ КИРИЛЛ</t>
        </is>
      </c>
      <c r="C29" s="93" t="n">
        <v>6.1</v>
      </c>
      <c r="D29" s="93" t="n">
        <v>13</v>
      </c>
      <c r="E29" s="93" t="n">
        <v>6.2</v>
      </c>
      <c r="F29" s="93" t="n">
        <v>11</v>
      </c>
      <c r="G29" s="93" t="n">
        <v>6.1</v>
      </c>
      <c r="H29" s="93" t="n">
        <v>24</v>
      </c>
    </row>
    <row r="30" ht="15" customHeight="1" s="57">
      <c r="A30" s="93" t="inlineStr">
        <is>
          <t>9Б</t>
        </is>
      </c>
      <c r="B30" s="94" t="inlineStr">
        <is>
          <t>АКАУОВ АНСАР</t>
        </is>
      </c>
      <c r="C30" s="93" t="n">
        <v>9.4</v>
      </c>
      <c r="D30" s="93" t="n">
        <v>17</v>
      </c>
      <c r="E30" s="93" t="n">
        <v>9.699999999999999</v>
      </c>
      <c r="F30" s="93" t="n">
        <v>12</v>
      </c>
      <c r="G30" s="93" t="n">
        <v>9.5</v>
      </c>
      <c r="H30" s="93" t="n">
        <v>29</v>
      </c>
    </row>
    <row r="31" ht="15" customHeight="1" s="57">
      <c r="A31" s="93" t="inlineStr">
        <is>
          <t>9Б</t>
        </is>
      </c>
      <c r="B31" s="94" t="inlineStr">
        <is>
          <t>БАЙЛЬДИНОВ ИСЛАМ</t>
        </is>
      </c>
      <c r="C31" s="93" t="n">
        <v>9.800000000000001</v>
      </c>
      <c r="D31" s="93" t="n">
        <v>17</v>
      </c>
      <c r="E31" s="93" t="n">
        <v>9.9</v>
      </c>
      <c r="F31" s="93" t="n">
        <v>11</v>
      </c>
      <c r="G31" s="93" t="n">
        <v>9.800000000000001</v>
      </c>
      <c r="H31" s="93" t="n">
        <v>28</v>
      </c>
    </row>
    <row r="32" ht="15" customHeight="1" s="57">
      <c r="A32" s="93" t="inlineStr">
        <is>
          <t>9Б</t>
        </is>
      </c>
      <c r="B32" s="94" t="inlineStr">
        <is>
          <t>БАТУХТИНА ВИКТОРИЯ</t>
        </is>
      </c>
      <c r="C32" s="93" t="n">
        <v>6.8</v>
      </c>
      <c r="D32" s="93" t="n">
        <v>12</v>
      </c>
      <c r="E32" s="93" t="n">
        <v>7.4</v>
      </c>
      <c r="F32" s="93" t="n">
        <v>9</v>
      </c>
      <c r="G32" s="93" t="n">
        <v>7.1</v>
      </c>
      <c r="H32" s="93" t="n">
        <v>21</v>
      </c>
    </row>
    <row r="33" ht="15" customHeight="1" s="57">
      <c r="A33" s="93" t="inlineStr">
        <is>
          <t>9Б</t>
        </is>
      </c>
      <c r="B33" s="94" t="inlineStr">
        <is>
          <t>ГАЗИЕВ ТИМУР</t>
        </is>
      </c>
      <c r="C33" s="93" t="n">
        <v>8.4</v>
      </c>
      <c r="D33" s="93" t="n">
        <v>13</v>
      </c>
      <c r="E33" s="93" t="n">
        <v>8.4</v>
      </c>
      <c r="F33" s="93" t="n">
        <v>9</v>
      </c>
      <c r="G33" s="93" t="n">
        <v>8.4</v>
      </c>
      <c r="H33" s="93" t="n">
        <v>22</v>
      </c>
    </row>
    <row r="34" ht="15" customHeight="1" s="57">
      <c r="A34" s="93" t="inlineStr">
        <is>
          <t>9Б</t>
        </is>
      </c>
      <c r="B34" s="94" t="inlineStr">
        <is>
          <t>ГАНТИМУРОВА ЛЮБОВЬ</t>
        </is>
      </c>
      <c r="C34" s="93" t="n">
        <v>7.1</v>
      </c>
      <c r="D34" s="93" t="n">
        <v>14</v>
      </c>
      <c r="E34" s="93" t="n">
        <v>8.1</v>
      </c>
      <c r="F34" s="93" t="n">
        <v>10</v>
      </c>
      <c r="G34" s="93" t="n">
        <v>7.5</v>
      </c>
      <c r="H34" s="93" t="n">
        <v>24</v>
      </c>
    </row>
    <row r="35" ht="15" customHeight="1" s="57">
      <c r="A35" s="93" t="inlineStr">
        <is>
          <t>9Б</t>
        </is>
      </c>
      <c r="B35" s="94" t="inlineStr">
        <is>
          <t>ДОЙНЕКО ЭРНЕСТ</t>
        </is>
      </c>
      <c r="C35" s="93" t="n">
        <v>7.7</v>
      </c>
      <c r="D35" s="93" t="n">
        <v>13</v>
      </c>
      <c r="E35" s="93" t="n">
        <v>7</v>
      </c>
      <c r="F35" s="93" t="n">
        <v>10</v>
      </c>
      <c r="G35" s="93" t="n">
        <v>7.4</v>
      </c>
      <c r="H35" s="93" t="n">
        <v>23</v>
      </c>
    </row>
    <row r="36" ht="15" customHeight="1" s="57">
      <c r="A36" s="93" t="inlineStr">
        <is>
          <t>9Б</t>
        </is>
      </c>
      <c r="B36" s="94" t="inlineStr">
        <is>
          <t>КАЙРУЛЛИН АРСЕНТИЙ</t>
        </is>
      </c>
      <c r="C36" s="93" t="n">
        <v>6.4</v>
      </c>
      <c r="D36" s="93" t="n">
        <v>16</v>
      </c>
      <c r="E36" s="93" t="n">
        <v>6.2</v>
      </c>
      <c r="F36" s="93" t="n">
        <v>10</v>
      </c>
      <c r="G36" s="93" t="n">
        <v>6.3</v>
      </c>
      <c r="H36" s="93" t="n">
        <v>26</v>
      </c>
    </row>
    <row r="37" ht="15" customHeight="1" s="57">
      <c r="A37" s="93" t="inlineStr">
        <is>
          <t>9Б</t>
        </is>
      </c>
      <c r="B37" s="94" t="inlineStr">
        <is>
          <t>КОЗЛОВ ВАДИМ</t>
        </is>
      </c>
      <c r="C37" s="93" t="n">
        <v>7.8</v>
      </c>
      <c r="D37" s="93" t="n">
        <v>15</v>
      </c>
      <c r="E37" s="93" t="n">
        <v>7.7</v>
      </c>
      <c r="F37" s="93" t="n">
        <v>9</v>
      </c>
      <c r="G37" s="93" t="n">
        <v>7.8</v>
      </c>
      <c r="H37" s="93" t="n">
        <v>24</v>
      </c>
    </row>
    <row r="38" ht="15" customHeight="1" s="57">
      <c r="A38" s="93" t="inlineStr">
        <is>
          <t>9Б</t>
        </is>
      </c>
      <c r="B38" s="94" t="inlineStr">
        <is>
          <t>КОЛМОГОРОВА АНАСТАСИЯ</t>
        </is>
      </c>
      <c r="C38" s="93" t="n">
        <v>8.1</v>
      </c>
      <c r="D38" s="93" t="n">
        <v>14</v>
      </c>
      <c r="E38" s="93" t="n">
        <v>7.9</v>
      </c>
      <c r="F38" s="93" t="n">
        <v>10</v>
      </c>
      <c r="G38" s="93" t="n">
        <v>8</v>
      </c>
      <c r="H38" s="93" t="n">
        <v>24</v>
      </c>
    </row>
    <row r="39" ht="15" customHeight="1" s="57">
      <c r="A39" s="93" t="inlineStr">
        <is>
          <t>9Б</t>
        </is>
      </c>
      <c r="B39" s="94" t="inlineStr">
        <is>
          <t>КРАСНОПЕРОВА АМИНА</t>
        </is>
      </c>
      <c r="C39" s="93" t="n">
        <v>7.2</v>
      </c>
      <c r="D39" s="93" t="n">
        <v>11</v>
      </c>
      <c r="E39" s="93" t="n">
        <v>7</v>
      </c>
      <c r="F39" s="93" t="n">
        <v>8</v>
      </c>
      <c r="G39" s="93" t="n">
        <v>7.1</v>
      </c>
      <c r="H39" s="93" t="n">
        <v>19</v>
      </c>
    </row>
    <row r="40" ht="15" customHeight="1" s="57">
      <c r="A40" s="93" t="inlineStr">
        <is>
          <t>9Б</t>
        </is>
      </c>
      <c r="B40" s="94" t="inlineStr">
        <is>
          <t>КРАСНОПЕРОВА КАЛЕРИЯ</t>
        </is>
      </c>
      <c r="C40" s="93" t="n">
        <v>7.7</v>
      </c>
      <c r="D40" s="93" t="n">
        <v>16</v>
      </c>
      <c r="E40" s="93" t="n">
        <v>7.9</v>
      </c>
      <c r="F40" s="93" t="n">
        <v>11</v>
      </c>
      <c r="G40" s="93" t="n">
        <v>7.8</v>
      </c>
      <c r="H40" s="93" t="n">
        <v>27</v>
      </c>
    </row>
    <row r="41" ht="15" customHeight="1" s="57">
      <c r="A41" s="93" t="inlineStr">
        <is>
          <t>9Б</t>
        </is>
      </c>
      <c r="B41" s="94" t="inlineStr">
        <is>
          <t>ЛУЦИК АРСЕНИЙ</t>
        </is>
      </c>
      <c r="C41" s="93" t="n">
        <v>9.6</v>
      </c>
      <c r="D41" s="93" t="n">
        <v>16</v>
      </c>
      <c r="E41" s="93" t="n">
        <v>9.6</v>
      </c>
      <c r="F41" s="93" t="n">
        <v>12</v>
      </c>
      <c r="G41" s="93" t="n">
        <v>9.6</v>
      </c>
      <c r="H41" s="93" t="n">
        <v>28</v>
      </c>
    </row>
    <row r="42" ht="15" customHeight="1" s="57">
      <c r="A42" s="93" t="inlineStr">
        <is>
          <t>9Б</t>
        </is>
      </c>
      <c r="B42" s="94" t="inlineStr">
        <is>
          <t>ПАВЛОВА ЛЮБОВЬ</t>
        </is>
      </c>
      <c r="C42" s="93" t="n">
        <v>7.9</v>
      </c>
      <c r="D42" s="93" t="n">
        <v>13</v>
      </c>
      <c r="E42" s="93" t="n">
        <v>7.6</v>
      </c>
      <c r="F42" s="93" t="n">
        <v>8</v>
      </c>
      <c r="G42" s="93" t="n">
        <v>7.8</v>
      </c>
      <c r="H42" s="93" t="n">
        <v>21</v>
      </c>
    </row>
    <row r="43" ht="15" customHeight="1" s="57">
      <c r="A43" s="93" t="inlineStr">
        <is>
          <t>9Б</t>
        </is>
      </c>
      <c r="B43" s="94" t="inlineStr">
        <is>
          <t>ПОДОЛЬСКАЯ ВЕРОНИКА</t>
        </is>
      </c>
      <c r="C43" s="93" t="n">
        <v>7.3</v>
      </c>
      <c r="D43" s="93" t="n">
        <v>16</v>
      </c>
      <c r="E43" s="93" t="n">
        <v>7.9</v>
      </c>
      <c r="F43" s="93" t="n">
        <v>11</v>
      </c>
      <c r="G43" s="93" t="n">
        <v>7.6</v>
      </c>
      <c r="H43" s="93" t="n">
        <v>27</v>
      </c>
    </row>
    <row r="44" ht="15" customHeight="1" s="57">
      <c r="A44" s="93" t="inlineStr">
        <is>
          <t>9Б</t>
        </is>
      </c>
      <c r="B44" s="94" t="inlineStr">
        <is>
          <t>ПРИЙМАК ОЛЕГ</t>
        </is>
      </c>
      <c r="C44" s="93" t="n">
        <v>6.1</v>
      </c>
      <c r="D44" s="93" t="n">
        <v>11</v>
      </c>
      <c r="E44" s="93" t="n">
        <v>6</v>
      </c>
      <c r="F44" s="93" t="n">
        <v>8</v>
      </c>
      <c r="G44" s="93" t="n">
        <v>6.1</v>
      </c>
      <c r="H44" s="93" t="n">
        <v>19</v>
      </c>
    </row>
    <row r="45" ht="15" customHeight="1" s="57">
      <c r="A45" s="93" t="inlineStr">
        <is>
          <t>9Б</t>
        </is>
      </c>
      <c r="B45" s="94" t="inlineStr">
        <is>
          <t>ТАВОРСКАЯ МИЛАНА</t>
        </is>
      </c>
      <c r="C45" s="93" t="n">
        <v>9.9</v>
      </c>
      <c r="D45" s="93" t="n">
        <v>16</v>
      </c>
      <c r="E45" s="93" t="n">
        <v>10</v>
      </c>
      <c r="F45" s="93" t="n">
        <v>11</v>
      </c>
      <c r="G45" s="93" t="n">
        <v>9.9</v>
      </c>
      <c r="H45" s="93" t="n">
        <v>27</v>
      </c>
    </row>
    <row r="46" ht="15" customHeight="1" s="57">
      <c r="A46" s="93" t="inlineStr">
        <is>
          <t>9Б</t>
        </is>
      </c>
      <c r="B46" s="94" t="inlineStr">
        <is>
          <t>ТРУБЧАНИНОВА АРИНА</t>
        </is>
      </c>
      <c r="C46" s="93" t="n">
        <v>6.7</v>
      </c>
      <c r="D46" s="93" t="n">
        <v>10</v>
      </c>
      <c r="E46" s="93" t="n">
        <v>6.8</v>
      </c>
      <c r="F46" s="93" t="n">
        <v>8</v>
      </c>
      <c r="G46" s="93" t="n">
        <v>6.7</v>
      </c>
      <c r="H46" s="93" t="n">
        <v>18</v>
      </c>
    </row>
    <row r="47" ht="15" customHeight="1" s="57">
      <c r="A47" s="93" t="inlineStr">
        <is>
          <t>9Б</t>
        </is>
      </c>
      <c r="B47" s="94" t="inlineStr">
        <is>
          <t>ЧИЧМАРЕНКО ВИКТОР</t>
        </is>
      </c>
      <c r="C47" s="93" t="n">
        <v>10</v>
      </c>
      <c r="D47" s="93" t="n">
        <v>19</v>
      </c>
      <c r="E47" s="93" t="n">
        <v>10</v>
      </c>
      <c r="F47" s="93" t="n">
        <v>14</v>
      </c>
      <c r="G47" s="93" t="n">
        <v>10</v>
      </c>
      <c r="H47" s="93" t="n">
        <v>33</v>
      </c>
    </row>
    <row r="48" ht="15" customHeight="1" s="57">
      <c r="A48" s="93" t="inlineStr">
        <is>
          <t>9Б</t>
        </is>
      </c>
      <c r="B48" s="94" t="inlineStr">
        <is>
          <t>ШТОПЕЛЬ АНДРЕЙ</t>
        </is>
      </c>
      <c r="C48" s="93" t="n">
        <v>6.5</v>
      </c>
      <c r="D48" s="93" t="n">
        <v>13</v>
      </c>
      <c r="E48" s="93" t="n">
        <v>6.4</v>
      </c>
      <c r="F48" s="93" t="n">
        <v>9</v>
      </c>
      <c r="G48" s="93" t="n">
        <v>6.5</v>
      </c>
      <c r="H48" s="93" t="n">
        <v>22</v>
      </c>
    </row>
    <row r="49" ht="15" customHeight="1" s="57">
      <c r="A49" s="93" t="inlineStr">
        <is>
          <t>9Б</t>
        </is>
      </c>
      <c r="B49" s="94" t="inlineStr">
        <is>
          <t>ШТОПЕЛЬ ВАЛЕРИЯ</t>
        </is>
      </c>
      <c r="C49" s="93" t="n">
        <v>7.7</v>
      </c>
      <c r="D49" s="93" t="n">
        <v>15</v>
      </c>
      <c r="E49" s="93" t="n">
        <v>7.9</v>
      </c>
      <c r="F49" s="93" t="n">
        <v>11</v>
      </c>
      <c r="G49" s="93" t="n">
        <v>7.8</v>
      </c>
      <c r="H49" s="93" t="n">
        <v>26</v>
      </c>
    </row>
    <row r="50" ht="15" customHeight="1" s="57">
      <c r="A50" s="93" t="inlineStr">
        <is>
          <t>10А</t>
        </is>
      </c>
      <c r="B50" s="94" t="inlineStr">
        <is>
          <t>АЛЕКСАНДРОВА МИЛЕНА</t>
        </is>
      </c>
      <c r="C50" s="93" t="n">
        <v>8.9</v>
      </c>
      <c r="D50" s="93" t="n">
        <v>19</v>
      </c>
      <c r="E50" s="93" t="n">
        <v>9.1</v>
      </c>
      <c r="F50" s="93" t="n">
        <v>12</v>
      </c>
      <c r="G50" s="93" t="n">
        <v>9</v>
      </c>
      <c r="H50" s="93" t="n">
        <v>31</v>
      </c>
    </row>
    <row r="51" ht="15" customHeight="1" s="57">
      <c r="A51" s="93" t="inlineStr">
        <is>
          <t>10А</t>
        </is>
      </c>
      <c r="B51" s="94" t="inlineStr">
        <is>
          <t>ҒОМАР ТАМЕРЛАН</t>
        </is>
      </c>
      <c r="C51" s="93" t="n">
        <v>6</v>
      </c>
      <c r="D51" s="93" t="n">
        <v>16</v>
      </c>
      <c r="E51" s="93" t="n">
        <v>6</v>
      </c>
      <c r="F51" s="93" t="n">
        <v>8</v>
      </c>
      <c r="G51" s="93" t="n">
        <v>6</v>
      </c>
      <c r="H51" s="93" t="n">
        <v>24</v>
      </c>
    </row>
    <row r="52" ht="15" customHeight="1" s="57">
      <c r="A52" s="93" t="inlineStr">
        <is>
          <t>10А</t>
        </is>
      </c>
      <c r="B52" s="94" t="inlineStr">
        <is>
          <t>ДУКАЧ АННА</t>
        </is>
      </c>
      <c r="C52" s="93" t="n">
        <v>8.199999999999999</v>
      </c>
      <c r="D52" s="93" t="n">
        <v>16</v>
      </c>
      <c r="E52" s="93" t="n">
        <v>8.6</v>
      </c>
      <c r="F52" s="93" t="n">
        <v>9</v>
      </c>
      <c r="G52" s="93" t="n">
        <v>8.4</v>
      </c>
      <c r="H52" s="93" t="n">
        <v>25</v>
      </c>
    </row>
    <row r="53" ht="15" customHeight="1" s="57">
      <c r="A53" s="93" t="inlineStr">
        <is>
          <t>10А</t>
        </is>
      </c>
      <c r="B53" s="94" t="inlineStr">
        <is>
          <t>ИВАЩЕНКО ДАНИИЛ</t>
        </is>
      </c>
      <c r="C53" s="93" t="n">
        <v>10</v>
      </c>
      <c r="D53" s="93" t="n">
        <v>25</v>
      </c>
      <c r="E53" s="93" t="n">
        <v>10</v>
      </c>
      <c r="F53" s="93" t="n">
        <v>12</v>
      </c>
      <c r="G53" s="93" t="n">
        <v>10</v>
      </c>
      <c r="H53" s="93" t="n">
        <v>37</v>
      </c>
    </row>
    <row r="54" ht="15" customHeight="1" s="57">
      <c r="A54" s="93" t="inlineStr">
        <is>
          <t>10А</t>
        </is>
      </c>
      <c r="B54" s="94" t="inlineStr">
        <is>
          <t>КЛЕВНО КАРИНА</t>
        </is>
      </c>
      <c r="C54" s="93" t="n">
        <v>8.1</v>
      </c>
      <c r="D54" s="93" t="n">
        <v>14</v>
      </c>
      <c r="E54" s="93" t="n">
        <v>8.9</v>
      </c>
      <c r="F54" s="93" t="n">
        <v>12</v>
      </c>
      <c r="G54" s="93" t="n">
        <v>8.5</v>
      </c>
      <c r="H54" s="93" t="n">
        <v>26</v>
      </c>
    </row>
    <row r="55" ht="15" customHeight="1" s="57">
      <c r="A55" s="93" t="inlineStr">
        <is>
          <t>10А</t>
        </is>
      </c>
      <c r="B55" s="94" t="inlineStr">
        <is>
          <t>КОЗЛОВА КРИСТИНА</t>
        </is>
      </c>
      <c r="C55" s="93" t="n">
        <v>9.5</v>
      </c>
      <c r="D55" s="93" t="n">
        <v>17</v>
      </c>
      <c r="E55" s="93" t="n">
        <v>9.4</v>
      </c>
      <c r="F55" s="93" t="n">
        <v>10</v>
      </c>
      <c r="G55" s="93" t="n">
        <v>9.5</v>
      </c>
      <c r="H55" s="93" t="n">
        <v>27</v>
      </c>
    </row>
    <row r="56" ht="15" customHeight="1" s="57">
      <c r="A56" s="93" t="inlineStr">
        <is>
          <t>10А</t>
        </is>
      </c>
      <c r="B56" s="94" t="inlineStr">
        <is>
          <t>КУЗНЕЦОВ ИЛЬЯ</t>
        </is>
      </c>
      <c r="C56" s="93" t="n">
        <v>6.1</v>
      </c>
      <c r="D56" s="93" t="n">
        <v>16</v>
      </c>
      <c r="E56" s="93" t="n">
        <v>6.1</v>
      </c>
      <c r="F56" s="93" t="n">
        <v>10</v>
      </c>
      <c r="G56" s="93" t="n">
        <v>6.1</v>
      </c>
      <c r="H56" s="93" t="n">
        <v>26</v>
      </c>
    </row>
    <row r="57" ht="15" customHeight="1" s="57">
      <c r="A57" s="93" t="inlineStr">
        <is>
          <t>10А</t>
        </is>
      </c>
      <c r="B57" s="94" t="inlineStr">
        <is>
          <t>МАСЛОВ ДМИТРИЙ</t>
        </is>
      </c>
      <c r="C57" s="93" t="n">
        <v>6</v>
      </c>
      <c r="D57" s="93" t="n">
        <v>12</v>
      </c>
      <c r="E57" s="93" t="n">
        <v>6</v>
      </c>
      <c r="F57" s="93" t="n">
        <v>8</v>
      </c>
      <c r="G57" s="93" t="n">
        <v>6</v>
      </c>
      <c r="H57" s="93" t="n">
        <v>20</v>
      </c>
    </row>
    <row r="58" ht="15" customHeight="1" s="57">
      <c r="A58" s="93" t="inlineStr">
        <is>
          <t>10А</t>
        </is>
      </c>
      <c r="B58" s="94" t="inlineStr">
        <is>
          <t>МИХАЛЬЦОВА ВИКТОРИЯ</t>
        </is>
      </c>
      <c r="C58" s="93" t="n">
        <v>7</v>
      </c>
      <c r="D58" s="93" t="n">
        <v>17</v>
      </c>
      <c r="E58" s="93" t="n">
        <v>6.5</v>
      </c>
      <c r="F58" s="93" t="n">
        <v>8</v>
      </c>
      <c r="G58" s="93" t="n">
        <v>6.8</v>
      </c>
      <c r="H58" s="93" t="n">
        <v>25</v>
      </c>
    </row>
    <row r="59" ht="15" customHeight="1" s="57">
      <c r="A59" s="93" t="inlineStr">
        <is>
          <t>10А</t>
        </is>
      </c>
      <c r="B59" s="94" t="inlineStr">
        <is>
          <t>НИКОЛАЕВ АРТЁМ</t>
        </is>
      </c>
      <c r="C59" s="93" t="n">
        <v>5.9</v>
      </c>
      <c r="D59" s="93" t="n">
        <v>14</v>
      </c>
      <c r="E59" s="93" t="n">
        <v>6</v>
      </c>
      <c r="F59" s="93" t="n">
        <v>6</v>
      </c>
      <c r="G59" s="93" t="n">
        <v>6</v>
      </c>
      <c r="H59" s="93" t="n">
        <v>20</v>
      </c>
    </row>
    <row r="60" ht="15" customHeight="1" s="57">
      <c r="A60" s="93" t="inlineStr">
        <is>
          <t>10А</t>
        </is>
      </c>
      <c r="B60" s="94" t="inlineStr">
        <is>
          <t>ОЛЬКОВ ВАСИЛИЙ</t>
        </is>
      </c>
      <c r="C60" s="93" t="n">
        <v>8.1</v>
      </c>
      <c r="D60" s="93" t="n">
        <v>13</v>
      </c>
      <c r="E60" s="93" t="n">
        <v>8.4</v>
      </c>
      <c r="F60" s="93" t="n">
        <v>8</v>
      </c>
      <c r="G60" s="93" t="n">
        <v>8.199999999999999</v>
      </c>
      <c r="H60" s="93" t="n">
        <v>21</v>
      </c>
    </row>
    <row r="61" ht="15" customHeight="1" s="57">
      <c r="A61" s="93" t="inlineStr">
        <is>
          <t>10А</t>
        </is>
      </c>
      <c r="B61" s="94" t="inlineStr">
        <is>
          <t>ТУРГУМБАЕВ САМИР</t>
        </is>
      </c>
      <c r="C61" s="93" t="n">
        <v>8</v>
      </c>
      <c r="D61" s="93" t="n">
        <v>16</v>
      </c>
      <c r="E61" s="93" t="n">
        <v>8.1</v>
      </c>
      <c r="F61" s="93" t="n">
        <v>10</v>
      </c>
      <c r="G61" s="93" t="n">
        <v>8</v>
      </c>
      <c r="H61" s="93" t="n">
        <v>26</v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Z16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2" ySplit="2" topLeftCell="H3" activePane="bottomRight" state="frozen"/>
      <selection pane="topLeft" activeCell="A1" activeCellId="0" sqref="A1"/>
      <selection pane="topRight" activeCell="H1" activeCellId="0" sqref="H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5" customWidth="1" style="56" min="1" max="1"/>
    <col width="28" customWidth="1" style="56" min="2" max="2"/>
    <col width="9" customWidth="1" style="56" min="3" max="24"/>
    <col width="10" customWidth="1" style="56" min="26" max="26"/>
  </cols>
  <sheetData>
    <row r="1" ht="17.25" customHeight="1" s="57">
      <c r="A1" s="91" t="inlineStr">
        <is>
          <t>8А Алгебра — оценки (на 23.10.2026)</t>
        </is>
      </c>
    </row>
    <row r="2" ht="31.5" customHeight="1" s="57">
      <c r="A2" s="92" t="inlineStr">
        <is>
          <t>№</t>
        </is>
      </c>
      <c r="B2" s="92" t="inlineStr">
        <is>
          <t>ФИО</t>
        </is>
      </c>
      <c r="C2" s="92" t="inlineStr">
        <is>
          <t>02.09.26</t>
        </is>
      </c>
      <c r="D2" s="92" t="inlineStr">
        <is>
          <t>04.09.26</t>
        </is>
      </c>
      <c r="E2" s="92" t="inlineStr">
        <is>
          <t>07.09.26</t>
        </is>
      </c>
      <c r="F2" s="92" t="inlineStr">
        <is>
          <t>09.09.26</t>
        </is>
      </c>
      <c r="G2" s="92" t="inlineStr">
        <is>
          <t>11.09.26</t>
        </is>
      </c>
      <c r="H2" s="92" t="inlineStr">
        <is>
          <t>14.09.26</t>
        </is>
      </c>
      <c r="I2" s="92" t="inlineStr">
        <is>
          <t>16.09.26</t>
        </is>
      </c>
      <c r="J2" s="92" t="inlineStr">
        <is>
          <t>18.09.26</t>
        </is>
      </c>
      <c r="K2" s="92" t="inlineStr">
        <is>
          <t>21.09.26</t>
        </is>
      </c>
      <c r="L2" s="92" t="inlineStr">
        <is>
          <t>23.09.26</t>
        </is>
      </c>
      <c r="M2" s="92" t="inlineStr">
        <is>
          <t>25.09.26</t>
        </is>
      </c>
      <c r="N2" s="92" t="inlineStr">
        <is>
          <t>28.09.26</t>
        </is>
      </c>
      <c r="O2" s="92" t="inlineStr">
        <is>
          <t>30.09.26</t>
        </is>
      </c>
      <c r="P2" s="92" t="inlineStr">
        <is>
          <t>02.10.26</t>
        </is>
      </c>
      <c r="Q2" s="92" t="inlineStr">
        <is>
          <t>05.10.26</t>
        </is>
      </c>
      <c r="R2" s="92" t="inlineStr">
        <is>
          <t>07.10.26</t>
        </is>
      </c>
      <c r="S2" s="92" t="inlineStr">
        <is>
          <t>09.10.26</t>
        </is>
      </c>
      <c r="T2" s="95" t="inlineStr">
        <is>
          <t>12.10.26
СОР</t>
        </is>
      </c>
      <c r="U2" s="92" t="inlineStr">
        <is>
          <t>14.10.26</t>
        </is>
      </c>
      <c r="V2" s="96" t="inlineStr">
        <is>
          <t>16.10.26
СОЧ</t>
        </is>
      </c>
      <c r="W2" s="92" t="inlineStr">
        <is>
          <t>19.10.26</t>
        </is>
      </c>
      <c r="X2" s="92" t="inlineStr">
        <is>
          <t>21.10.26</t>
        </is>
      </c>
      <c r="Y2" s="92" t="inlineStr">
        <is>
          <t>23.10.26</t>
        </is>
      </c>
      <c r="Z2" s="92" t="inlineStr">
        <is>
          <t>Средний</t>
        </is>
      </c>
    </row>
    <row r="3" ht="15" customHeight="1" s="57">
      <c r="A3" s="93" t="n">
        <v>1</v>
      </c>
      <c r="B3" s="94" t="inlineStr">
        <is>
          <t>Абельдинова Жасмин</t>
        </is>
      </c>
      <c r="C3" s="97" t="n">
        <v>6</v>
      </c>
      <c r="D3" s="98" t="n">
        <v>8</v>
      </c>
      <c r="E3" s="98" t="n">
        <v>9</v>
      </c>
      <c r="F3" s="98" t="n">
        <v>8</v>
      </c>
      <c r="G3" s="98" t="n">
        <v>8</v>
      </c>
      <c r="H3" s="98" t="n">
        <v>7</v>
      </c>
      <c r="I3" s="93" t="n"/>
      <c r="J3" s="97" t="n">
        <v>5</v>
      </c>
      <c r="K3" s="98" t="n">
        <v>9</v>
      </c>
      <c r="L3" s="98" t="n">
        <v>8</v>
      </c>
      <c r="M3" s="93" t="n"/>
      <c r="N3" s="98" t="n">
        <v>8</v>
      </c>
      <c r="O3" s="98" t="n">
        <v>9</v>
      </c>
      <c r="P3" s="98" t="n">
        <v>9</v>
      </c>
      <c r="Q3" s="99" t="n">
        <v>4</v>
      </c>
      <c r="R3" s="98" t="n">
        <v>10</v>
      </c>
      <c r="S3" s="93" t="n"/>
      <c r="T3" s="93" t="n"/>
      <c r="U3" s="100" t="n">
        <v>8</v>
      </c>
      <c r="V3" s="93" t="n"/>
      <c r="W3" s="100" t="n">
        <v>8</v>
      </c>
      <c r="X3" s="100" t="n">
        <v>8</v>
      </c>
      <c r="Y3" s="100" t="n">
        <v>8</v>
      </c>
      <c r="Z3" s="101">
        <f>IFERROR(ROUND(AVERAGE(C3:Y3),1),"")</f>
        <v/>
      </c>
    </row>
    <row r="4" ht="15" customHeight="1" s="57">
      <c r="A4" s="93" t="n">
        <v>2</v>
      </c>
      <c r="B4" s="94" t="inlineStr">
        <is>
          <t>БЕРДНИКОВА ЕВГЕНИЯ</t>
        </is>
      </c>
      <c r="C4" s="98" t="n">
        <v>10</v>
      </c>
      <c r="D4" s="98" t="n">
        <v>9</v>
      </c>
      <c r="E4" s="97" t="n">
        <v>6</v>
      </c>
      <c r="F4" s="98" t="n">
        <v>9</v>
      </c>
      <c r="G4" s="98" t="n">
        <v>7</v>
      </c>
      <c r="H4" s="98" t="n">
        <v>7</v>
      </c>
      <c r="I4" s="98" t="n">
        <v>9</v>
      </c>
      <c r="J4" s="98" t="n">
        <v>9</v>
      </c>
      <c r="K4" s="98" t="n">
        <v>9</v>
      </c>
      <c r="L4" s="97" t="n">
        <v>6</v>
      </c>
      <c r="M4" s="98" t="n">
        <v>9</v>
      </c>
      <c r="N4" s="98" t="n">
        <v>10</v>
      </c>
      <c r="O4" s="98" t="n">
        <v>7</v>
      </c>
      <c r="P4" s="98" t="n">
        <v>9</v>
      </c>
      <c r="Q4" s="97" t="n">
        <v>6</v>
      </c>
      <c r="R4" s="98" t="n">
        <v>10</v>
      </c>
      <c r="S4" s="98" t="n">
        <v>9</v>
      </c>
      <c r="T4" s="98" t="n">
        <v>8</v>
      </c>
      <c r="U4" s="100" t="n">
        <v>8</v>
      </c>
      <c r="V4" s="93" t="n"/>
      <c r="W4" s="100" t="n">
        <v>8</v>
      </c>
      <c r="X4" s="100" t="n">
        <v>8</v>
      </c>
      <c r="Y4" s="102" t="n"/>
      <c r="Z4" s="101">
        <f>IFERROR(ROUND(AVERAGE(C4:Y4),1),"")</f>
        <v/>
      </c>
    </row>
    <row r="5" ht="15" customHeight="1" s="57">
      <c r="A5" s="93" t="n">
        <v>3</v>
      </c>
      <c r="B5" s="94" t="inlineStr">
        <is>
          <t>БЕРДНИКОВА ДАРЬЯ</t>
        </is>
      </c>
      <c r="C5" s="98" t="n">
        <v>9</v>
      </c>
      <c r="D5" s="93" t="n"/>
      <c r="E5" s="98" t="n">
        <v>7</v>
      </c>
      <c r="F5" s="97" t="n">
        <v>5</v>
      </c>
      <c r="G5" s="98" t="n">
        <v>7</v>
      </c>
      <c r="H5" s="98" t="n">
        <v>7</v>
      </c>
      <c r="I5" s="93" t="n"/>
      <c r="J5" s="97" t="n">
        <v>6</v>
      </c>
      <c r="K5" s="98" t="n">
        <v>7</v>
      </c>
      <c r="L5" s="98" t="n">
        <v>7</v>
      </c>
      <c r="M5" s="98" t="n">
        <v>8</v>
      </c>
      <c r="N5" s="93" t="n"/>
      <c r="O5" s="98" t="n">
        <v>7</v>
      </c>
      <c r="P5" s="98" t="n">
        <v>8</v>
      </c>
      <c r="Q5" s="97" t="n">
        <v>6</v>
      </c>
      <c r="R5" s="98" t="n">
        <v>10</v>
      </c>
      <c r="S5" s="93" t="n"/>
      <c r="T5" s="93" t="n"/>
      <c r="U5" s="100" t="n">
        <v>8</v>
      </c>
      <c r="V5" s="93" t="n"/>
      <c r="W5" s="93" t="n"/>
      <c r="X5" s="100" t="n">
        <v>8</v>
      </c>
      <c r="Y5" s="93" t="n"/>
      <c r="Z5" s="101">
        <f>IFERROR(ROUND(AVERAGE(C5:Y5),1),"")</f>
        <v/>
      </c>
    </row>
    <row r="6" ht="15" customHeight="1" s="57">
      <c r="A6" s="93" t="n">
        <v>4</v>
      </c>
      <c r="B6" s="94" t="inlineStr">
        <is>
          <t>БУЧКОВА МИЛАНА</t>
        </is>
      </c>
      <c r="C6" s="98" t="n">
        <v>9</v>
      </c>
      <c r="D6" s="93" t="n"/>
      <c r="E6" s="98" t="n">
        <v>9</v>
      </c>
      <c r="F6" s="98" t="n">
        <v>9</v>
      </c>
      <c r="G6" s="98" t="n">
        <v>9</v>
      </c>
      <c r="H6" s="98" t="n">
        <v>9</v>
      </c>
      <c r="I6" s="98" t="n">
        <v>9</v>
      </c>
      <c r="J6" s="98" t="n">
        <v>9</v>
      </c>
      <c r="K6" s="93" t="n"/>
      <c r="L6" s="98" t="n">
        <v>9</v>
      </c>
      <c r="M6" s="98" t="n">
        <v>9</v>
      </c>
      <c r="N6" s="98" t="n">
        <v>9</v>
      </c>
      <c r="O6" s="98" t="n">
        <v>9</v>
      </c>
      <c r="P6" s="98" t="n">
        <v>8</v>
      </c>
      <c r="Q6" s="97" t="n">
        <v>6</v>
      </c>
      <c r="R6" s="98" t="n">
        <v>10</v>
      </c>
      <c r="S6" s="93" t="n"/>
      <c r="T6" s="93" t="n"/>
      <c r="U6" s="100" t="n">
        <v>9</v>
      </c>
      <c r="V6" s="93" t="n"/>
      <c r="W6" s="100" t="n">
        <v>10</v>
      </c>
      <c r="X6" s="100" t="n">
        <v>9</v>
      </c>
      <c r="Y6" s="100" t="n">
        <v>9</v>
      </c>
      <c r="Z6" s="101">
        <f>IFERROR(ROUND(AVERAGE(C6:Y6),1),"")</f>
        <v/>
      </c>
    </row>
    <row r="7" ht="15" customHeight="1" s="57">
      <c r="A7" s="93" t="n">
        <v>5</v>
      </c>
      <c r="B7" s="94" t="inlineStr">
        <is>
          <t>ВАСИЛЬКОВСКИЙ ДАНИЛ</t>
        </is>
      </c>
      <c r="C7" s="98" t="n">
        <v>9</v>
      </c>
      <c r="D7" s="98" t="n">
        <v>7</v>
      </c>
      <c r="E7" s="98" t="n">
        <v>7</v>
      </c>
      <c r="F7" s="99" t="n">
        <v>4</v>
      </c>
      <c r="G7" s="98" t="n">
        <v>7</v>
      </c>
      <c r="H7" s="98" t="n">
        <v>8</v>
      </c>
      <c r="I7" s="97" t="n">
        <v>6</v>
      </c>
      <c r="J7" s="98" t="n">
        <v>8</v>
      </c>
      <c r="K7" s="98" t="n">
        <v>7</v>
      </c>
      <c r="L7" s="98" t="n">
        <v>7</v>
      </c>
      <c r="M7" s="97" t="n">
        <v>6</v>
      </c>
      <c r="N7" s="98" t="n">
        <v>7</v>
      </c>
      <c r="O7" s="98" t="n">
        <v>7</v>
      </c>
      <c r="P7" s="98" t="n">
        <v>7</v>
      </c>
      <c r="Q7" s="98" t="n">
        <v>7</v>
      </c>
      <c r="R7" s="98" t="n">
        <v>10</v>
      </c>
      <c r="S7" s="93" t="n"/>
      <c r="T7" s="97" t="n">
        <v>5</v>
      </c>
      <c r="U7" s="93" t="n"/>
      <c r="V7" s="93" t="n"/>
      <c r="W7" s="93" t="n"/>
      <c r="X7" s="100" t="n">
        <v>8</v>
      </c>
      <c r="Y7" s="100" t="n">
        <v>8</v>
      </c>
      <c r="Z7" s="101">
        <f>IFERROR(ROUND(AVERAGE(C7:Y7),1),"")</f>
        <v/>
      </c>
    </row>
    <row r="8" ht="15" customHeight="1" s="57">
      <c r="A8" s="93" t="n">
        <v>6</v>
      </c>
      <c r="B8" s="94" t="inlineStr">
        <is>
          <t>ГАЛИПАД ДАНИЛ</t>
        </is>
      </c>
      <c r="C8" s="97" t="n">
        <v>5</v>
      </c>
      <c r="D8" s="97" t="n">
        <v>5</v>
      </c>
      <c r="E8" s="97" t="n">
        <v>5</v>
      </c>
      <c r="F8" s="97" t="n">
        <v>5</v>
      </c>
      <c r="G8" s="97" t="n">
        <v>6</v>
      </c>
      <c r="H8" s="97" t="n">
        <v>5</v>
      </c>
      <c r="I8" s="97" t="n">
        <v>5</v>
      </c>
      <c r="J8" s="97" t="n">
        <v>6</v>
      </c>
      <c r="K8" s="97" t="n">
        <v>5</v>
      </c>
      <c r="L8" s="97" t="n">
        <v>5</v>
      </c>
      <c r="M8" s="97" t="n">
        <v>5</v>
      </c>
      <c r="N8" s="97" t="n">
        <v>5</v>
      </c>
      <c r="O8" s="97" t="n">
        <v>5</v>
      </c>
      <c r="P8" s="97" t="n">
        <v>5</v>
      </c>
      <c r="Q8" s="93" t="n"/>
      <c r="R8" s="93" t="n"/>
      <c r="S8" s="97" t="n">
        <v>6</v>
      </c>
      <c r="T8" s="93" t="n"/>
      <c r="U8" s="93" t="n"/>
      <c r="V8" s="93" t="n"/>
      <c r="W8" s="103" t="n">
        <v>6</v>
      </c>
      <c r="X8" s="102" t="n"/>
      <c r="Y8" s="103" t="n">
        <v>5</v>
      </c>
      <c r="Z8" s="101">
        <f>IFERROR(ROUND(AVERAGE(C8:Y8),1),"")</f>
        <v/>
      </c>
    </row>
    <row r="9" ht="15" customHeight="1" s="57">
      <c r="A9" s="93" t="n">
        <v>7</v>
      </c>
      <c r="B9" s="94" t="inlineStr">
        <is>
          <t>КИСМЕТЬЕВ ИСЛАМ</t>
        </is>
      </c>
      <c r="C9" s="97" t="n">
        <v>6</v>
      </c>
      <c r="D9" s="97" t="n">
        <v>6</v>
      </c>
      <c r="E9" s="97" t="n">
        <v>6</v>
      </c>
      <c r="F9" s="93" t="n"/>
      <c r="G9" s="97" t="n">
        <v>6</v>
      </c>
      <c r="H9" s="93" t="n"/>
      <c r="I9" s="97" t="n">
        <v>6</v>
      </c>
      <c r="J9" s="97" t="n">
        <v>6</v>
      </c>
      <c r="K9" s="98" t="n">
        <v>7</v>
      </c>
      <c r="L9" s="97" t="n">
        <v>6</v>
      </c>
      <c r="M9" s="97" t="n">
        <v>6</v>
      </c>
      <c r="N9" s="98" t="n">
        <v>8</v>
      </c>
      <c r="O9" s="97" t="n">
        <v>6</v>
      </c>
      <c r="P9" s="97" t="n">
        <v>6</v>
      </c>
      <c r="Q9" s="93" t="n"/>
      <c r="R9" s="93" t="n"/>
      <c r="S9" s="97" t="n">
        <v>6</v>
      </c>
      <c r="T9" s="93" t="n"/>
      <c r="U9" s="93" t="n"/>
      <c r="V9" s="93" t="n"/>
      <c r="W9" s="93" t="n"/>
      <c r="X9" s="103" t="n">
        <v>6</v>
      </c>
      <c r="Y9" s="103" t="n">
        <v>6</v>
      </c>
      <c r="Z9" s="101">
        <f>IFERROR(ROUND(AVERAGE(C9:Y9),1),"")</f>
        <v/>
      </c>
    </row>
    <row r="10" ht="15" customHeight="1" s="57">
      <c r="A10" s="93" t="n">
        <v>8</v>
      </c>
      <c r="B10" s="94" t="inlineStr">
        <is>
          <t>КОХ КОНДРАТ</t>
        </is>
      </c>
      <c r="C10" s="98" t="n">
        <v>9</v>
      </c>
      <c r="D10" s="98" t="n">
        <v>7</v>
      </c>
      <c r="E10" s="98" t="n">
        <v>7</v>
      </c>
      <c r="F10" s="99" t="n">
        <v>4</v>
      </c>
      <c r="G10" s="98" t="n">
        <v>7</v>
      </c>
      <c r="H10" s="98" t="n">
        <v>8</v>
      </c>
      <c r="I10" s="97" t="n">
        <v>6</v>
      </c>
      <c r="J10" s="98" t="n">
        <v>8</v>
      </c>
      <c r="K10" s="98" t="n">
        <v>7</v>
      </c>
      <c r="L10" s="98" t="n">
        <v>8</v>
      </c>
      <c r="M10" s="97" t="n">
        <v>6</v>
      </c>
      <c r="N10" s="98" t="n">
        <v>8</v>
      </c>
      <c r="O10" s="98" t="n">
        <v>8</v>
      </c>
      <c r="P10" s="98" t="n">
        <v>9</v>
      </c>
      <c r="Q10" s="98" t="n">
        <v>8</v>
      </c>
      <c r="R10" s="98" t="n">
        <v>10</v>
      </c>
      <c r="S10" s="93" t="n"/>
      <c r="T10" s="93" t="n"/>
      <c r="U10" s="100" t="n">
        <v>8</v>
      </c>
      <c r="V10" s="93" t="n"/>
      <c r="W10" s="93" t="n"/>
      <c r="X10" s="100" t="n">
        <v>8</v>
      </c>
      <c r="Y10" s="100" t="n">
        <v>8</v>
      </c>
      <c r="Z10" s="101">
        <f>IFERROR(ROUND(AVERAGE(C10:Y10),1),"")</f>
        <v/>
      </c>
    </row>
    <row r="11" ht="15" customHeight="1" s="57">
      <c r="A11" s="93" t="n">
        <v>9</v>
      </c>
      <c r="B11" s="94" t="inlineStr">
        <is>
          <t>КУЗНЕЦОВ РОМАН</t>
        </is>
      </c>
      <c r="C11" s="97" t="n">
        <v>6</v>
      </c>
      <c r="D11" s="99" t="n">
        <v>4</v>
      </c>
      <c r="E11" s="97" t="n">
        <v>6</v>
      </c>
      <c r="F11" s="98" t="n">
        <v>8</v>
      </c>
      <c r="G11" s="97" t="n">
        <v>6</v>
      </c>
      <c r="H11" s="99" t="n">
        <v>4</v>
      </c>
      <c r="I11" s="98" t="n">
        <v>7</v>
      </c>
      <c r="J11" s="97" t="n">
        <v>6</v>
      </c>
      <c r="K11" s="97" t="n">
        <v>6</v>
      </c>
      <c r="L11" s="98" t="n">
        <v>8</v>
      </c>
      <c r="M11" s="97" t="n">
        <v>6</v>
      </c>
      <c r="N11" s="98" t="n">
        <v>9</v>
      </c>
      <c r="O11" s="97" t="n">
        <v>6</v>
      </c>
      <c r="P11" s="98" t="n">
        <v>9</v>
      </c>
      <c r="Q11" s="93" t="n"/>
      <c r="R11" s="93" t="n"/>
      <c r="S11" s="98" t="n">
        <v>8</v>
      </c>
      <c r="T11" s="93" t="n"/>
      <c r="U11" s="93" t="n"/>
      <c r="V11" s="93" t="n"/>
      <c r="W11" s="100" t="n">
        <v>8</v>
      </c>
      <c r="X11" s="102" t="n"/>
      <c r="Y11" s="100" t="n">
        <v>8</v>
      </c>
      <c r="Z11" s="101">
        <f>IFERROR(ROUND(AVERAGE(C11:Y11),1),"")</f>
        <v/>
      </c>
    </row>
    <row r="12" ht="15" customHeight="1" s="57">
      <c r="A12" s="93" t="n">
        <v>10</v>
      </c>
      <c r="B12" s="94" t="inlineStr">
        <is>
          <t>ПАЗНИКОВА ДАНАЯ</t>
        </is>
      </c>
      <c r="C12" s="98" t="n">
        <v>10</v>
      </c>
      <c r="D12" s="98" t="n">
        <v>9</v>
      </c>
      <c r="E12" s="98" t="n">
        <v>9</v>
      </c>
      <c r="F12" s="98" t="n">
        <v>9</v>
      </c>
      <c r="G12" s="98" t="n">
        <v>8</v>
      </c>
      <c r="H12" s="98" t="n">
        <v>9</v>
      </c>
      <c r="I12" s="98" t="n">
        <v>9</v>
      </c>
      <c r="J12" s="98" t="n">
        <v>9</v>
      </c>
      <c r="K12" s="98" t="n">
        <v>9</v>
      </c>
      <c r="L12" s="98" t="n">
        <v>10</v>
      </c>
      <c r="M12" s="98" t="n">
        <v>9</v>
      </c>
      <c r="N12" s="98" t="n">
        <v>10</v>
      </c>
      <c r="O12" s="98" t="n">
        <v>9</v>
      </c>
      <c r="P12" s="98" t="n">
        <v>10</v>
      </c>
      <c r="Q12" s="98" t="n">
        <v>8</v>
      </c>
      <c r="R12" s="98" t="n">
        <v>10</v>
      </c>
      <c r="S12" s="98" t="n">
        <v>10</v>
      </c>
      <c r="T12" s="93" t="n"/>
      <c r="U12" s="98" t="n">
        <v>10</v>
      </c>
      <c r="V12" s="93" t="n"/>
      <c r="W12" s="98" t="n">
        <v>10</v>
      </c>
      <c r="X12" s="100" t="n">
        <v>9</v>
      </c>
      <c r="Y12" s="93" t="n"/>
      <c r="Z12" s="101">
        <f>IFERROR(ROUND(AVERAGE(C12:Y12),1),"")</f>
        <v/>
      </c>
    </row>
    <row r="13" ht="15" customHeight="1" s="57">
      <c r="A13" s="93" t="n">
        <v>11</v>
      </c>
      <c r="B13" s="94" t="inlineStr">
        <is>
          <t>ПОДОЛЬСКИЙ АРТЁМ</t>
        </is>
      </c>
      <c r="C13" s="98" t="n">
        <v>9</v>
      </c>
      <c r="D13" s="98" t="n">
        <v>9</v>
      </c>
      <c r="E13" s="98" t="n">
        <v>9</v>
      </c>
      <c r="F13" s="98" t="n">
        <v>9</v>
      </c>
      <c r="G13" s="98" t="n">
        <v>9</v>
      </c>
      <c r="H13" s="98" t="n">
        <v>9</v>
      </c>
      <c r="I13" s="98" t="n">
        <v>9</v>
      </c>
      <c r="J13" s="98" t="n">
        <v>9</v>
      </c>
      <c r="K13" s="98" t="n">
        <v>9</v>
      </c>
      <c r="L13" s="98" t="n">
        <v>9</v>
      </c>
      <c r="M13" s="98" t="n">
        <v>9</v>
      </c>
      <c r="N13" s="98" t="n">
        <v>8</v>
      </c>
      <c r="O13" s="98" t="n">
        <v>9</v>
      </c>
      <c r="P13" s="98" t="n">
        <v>9</v>
      </c>
      <c r="Q13" s="97" t="n">
        <v>6</v>
      </c>
      <c r="R13" s="98" t="n">
        <v>10</v>
      </c>
      <c r="S13" s="98" t="n">
        <v>9</v>
      </c>
      <c r="T13" s="93" t="n"/>
      <c r="U13" s="100" t="n">
        <v>10</v>
      </c>
      <c r="V13" s="93" t="n"/>
      <c r="W13" s="100" t="n">
        <v>9</v>
      </c>
      <c r="X13" s="102" t="n"/>
      <c r="Y13" s="100" t="n">
        <v>9</v>
      </c>
      <c r="Z13" s="101">
        <f>IFERROR(ROUND(AVERAGE(C13:Y13),1),"")</f>
        <v/>
      </c>
    </row>
    <row r="14" ht="15" customHeight="1" s="57">
      <c r="A14" s="93" t="n">
        <v>12</v>
      </c>
      <c r="B14" s="94" t="inlineStr">
        <is>
          <t>РАМЕНСКАЯ ВЕРОНИКА</t>
        </is>
      </c>
      <c r="C14" s="97" t="n">
        <v>6</v>
      </c>
      <c r="D14" s="98" t="n">
        <v>8</v>
      </c>
      <c r="E14" s="98" t="n">
        <v>9</v>
      </c>
      <c r="F14" s="98" t="n">
        <v>8</v>
      </c>
      <c r="G14" s="98" t="n">
        <v>8</v>
      </c>
      <c r="H14" s="98" t="n">
        <v>7</v>
      </c>
      <c r="I14" s="93" t="n">
        <v>10</v>
      </c>
      <c r="J14" s="97" t="n">
        <v>5</v>
      </c>
      <c r="K14" s="98" t="n">
        <v>9</v>
      </c>
      <c r="L14" s="98" t="n">
        <v>8</v>
      </c>
      <c r="M14" s="93" t="n">
        <v>10</v>
      </c>
      <c r="N14" s="98" t="n">
        <v>8</v>
      </c>
      <c r="O14" s="98" t="n">
        <v>9</v>
      </c>
      <c r="P14" s="98" t="n">
        <v>9</v>
      </c>
      <c r="Q14" s="99" t="n">
        <v>4</v>
      </c>
      <c r="R14" s="98" t="n">
        <v>10</v>
      </c>
      <c r="S14" s="98" t="n">
        <v>9</v>
      </c>
      <c r="T14" s="98" t="n">
        <v>8</v>
      </c>
      <c r="U14" s="93" t="n">
        <v>10</v>
      </c>
      <c r="V14" s="93" t="n"/>
      <c r="W14" s="98" t="n">
        <v>9</v>
      </c>
      <c r="X14" s="100" t="n">
        <v>10</v>
      </c>
      <c r="Y14" s="93" t="n"/>
      <c r="Z14" s="101">
        <f>IFERROR(ROUND(AVERAGE(C14:Y14),1),"")</f>
        <v/>
      </c>
    </row>
    <row r="15" ht="15" customHeight="1" s="57">
      <c r="A15" s="93" t="n">
        <v>13</v>
      </c>
      <c r="B15" s="94" t="inlineStr">
        <is>
          <t>РОМАЗЕЕВА АЛЁНА</t>
        </is>
      </c>
      <c r="C15" s="97" t="n">
        <v>6</v>
      </c>
      <c r="D15" s="97" t="n">
        <v>6</v>
      </c>
      <c r="E15" s="97" t="n">
        <v>6</v>
      </c>
      <c r="F15" s="97" t="n">
        <v>6</v>
      </c>
      <c r="G15" s="97" t="n">
        <v>6</v>
      </c>
      <c r="H15" s="97" t="n">
        <v>6</v>
      </c>
      <c r="I15" s="98" t="n">
        <v>7</v>
      </c>
      <c r="J15" s="97" t="n">
        <v>6</v>
      </c>
      <c r="K15" s="97" t="n">
        <v>6</v>
      </c>
      <c r="L15" s="98" t="n">
        <v>8</v>
      </c>
      <c r="M15" s="97" t="n">
        <v>6</v>
      </c>
      <c r="N15" s="98" t="n">
        <v>8</v>
      </c>
      <c r="O15" s="98" t="n">
        <v>8</v>
      </c>
      <c r="P15" s="93" t="n"/>
      <c r="Q15" s="93" t="n"/>
      <c r="R15" s="98" t="n">
        <v>10</v>
      </c>
      <c r="S15" s="93" t="n"/>
      <c r="T15" s="98" t="n">
        <v>7</v>
      </c>
      <c r="U15" s="103" t="n">
        <v>5</v>
      </c>
      <c r="V15" s="93" t="n"/>
      <c r="W15" s="103" t="n">
        <v>5</v>
      </c>
      <c r="X15" s="102" t="n"/>
      <c r="Y15" s="103" t="n">
        <v>5</v>
      </c>
      <c r="Z15" s="101">
        <f>IFERROR(ROUND(AVERAGE(C15:Y15),1),"")</f>
        <v/>
      </c>
    </row>
    <row r="16" ht="15" customHeight="1" s="57">
      <c r="A16" s="93" t="n">
        <v>14</v>
      </c>
      <c r="B16" s="94" t="inlineStr">
        <is>
          <t>Романишина Ульяна</t>
        </is>
      </c>
      <c r="C16" s="98" t="n">
        <v>10</v>
      </c>
      <c r="D16" s="98" t="n">
        <v>9</v>
      </c>
      <c r="E16" s="98" t="n">
        <v>9</v>
      </c>
      <c r="F16" s="98" t="n">
        <v>9</v>
      </c>
      <c r="G16" s="98" t="n">
        <v>8</v>
      </c>
      <c r="H16" s="98" t="n">
        <v>9</v>
      </c>
      <c r="I16" s="98" t="n">
        <v>9</v>
      </c>
      <c r="J16" s="98" t="n">
        <v>9</v>
      </c>
      <c r="K16" s="98" t="n">
        <v>9</v>
      </c>
      <c r="L16" s="98" t="n">
        <v>10</v>
      </c>
      <c r="M16" s="98" t="n">
        <v>9</v>
      </c>
      <c r="N16" s="98" t="n">
        <v>10</v>
      </c>
      <c r="O16" s="98" t="n">
        <v>9</v>
      </c>
      <c r="P16" s="98" t="n">
        <v>10</v>
      </c>
      <c r="Q16" s="98" t="n">
        <v>8</v>
      </c>
      <c r="R16" s="98" t="n">
        <v>10</v>
      </c>
      <c r="S16" s="98" t="n">
        <v>10</v>
      </c>
      <c r="T16" s="98" t="n">
        <v>8</v>
      </c>
      <c r="U16" s="100" t="n">
        <v>10</v>
      </c>
      <c r="V16" s="93" t="n"/>
      <c r="W16" s="98" t="n">
        <v>10</v>
      </c>
      <c r="X16" s="100" t="n">
        <v>9</v>
      </c>
      <c r="Y16" s="100" t="n">
        <v>10</v>
      </c>
      <c r="Z16" s="101">
        <f>IFERROR(ROUND(AVERAGE(C16:Y16),1),"")</f>
        <v/>
      </c>
    </row>
  </sheetData>
  <mergeCells count="1">
    <mergeCell ref="A1:Z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S16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5" customWidth="1" style="56" min="1" max="1"/>
    <col width="28" customWidth="1" style="56" min="2" max="2"/>
    <col width="9" customWidth="1" style="56" min="3" max="18"/>
    <col width="10" customWidth="1" style="56" min="19" max="19"/>
  </cols>
  <sheetData>
    <row r="1" ht="17.25" customHeight="1" s="57">
      <c r="A1" s="91" t="inlineStr">
        <is>
          <t>8А Геометрия — оценки (на 23.10.2026)</t>
        </is>
      </c>
    </row>
    <row r="2" ht="31.5" customHeight="1" s="57">
      <c r="A2" s="92" t="inlineStr">
        <is>
          <t>№</t>
        </is>
      </c>
      <c r="B2" s="92" t="inlineStr">
        <is>
          <t>ФИО</t>
        </is>
      </c>
      <c r="C2" s="92" t="inlineStr">
        <is>
          <t>01.09.26</t>
        </is>
      </c>
      <c r="D2" s="92" t="inlineStr">
        <is>
          <t>03.09.26</t>
        </is>
      </c>
      <c r="E2" s="92" t="inlineStr">
        <is>
          <t>08.09.26</t>
        </is>
      </c>
      <c r="F2" s="92" t="inlineStr">
        <is>
          <t>10.09.26</t>
        </is>
      </c>
      <c r="G2" s="92" t="inlineStr">
        <is>
          <t>15.09.26</t>
        </is>
      </c>
      <c r="H2" s="92" t="inlineStr">
        <is>
          <t>17.09.26</t>
        </is>
      </c>
      <c r="I2" s="92" t="inlineStr">
        <is>
          <t>22.09.26</t>
        </is>
      </c>
      <c r="J2" s="92" t="inlineStr">
        <is>
          <t>24.09.26</t>
        </is>
      </c>
      <c r="K2" s="92" t="inlineStr">
        <is>
          <t>29.09.26</t>
        </is>
      </c>
      <c r="L2" s="92" t="inlineStr">
        <is>
          <t>01.10.26</t>
        </is>
      </c>
      <c r="M2" s="92" t="inlineStr">
        <is>
          <t>06.10.26</t>
        </is>
      </c>
      <c r="N2" s="92" t="inlineStr">
        <is>
          <t>08.10.26</t>
        </is>
      </c>
      <c r="O2" s="95" t="inlineStr">
        <is>
          <t>13.10.26
СОР</t>
        </is>
      </c>
      <c r="P2" s="96" t="inlineStr">
        <is>
          <t>15.10.26
СОЧ</t>
        </is>
      </c>
      <c r="Q2" s="92" t="inlineStr">
        <is>
          <t>20.10.26</t>
        </is>
      </c>
      <c r="R2" s="92" t="inlineStr">
        <is>
          <t>22.10.26</t>
        </is>
      </c>
      <c r="S2" s="92" t="inlineStr">
        <is>
          <t>Средний</t>
        </is>
      </c>
    </row>
    <row r="3" ht="15" customHeight="1" s="57">
      <c r="A3" s="93" t="n">
        <v>1</v>
      </c>
      <c r="B3" s="94" t="inlineStr">
        <is>
          <t>Абельдинова Жасмин</t>
        </is>
      </c>
      <c r="C3" s="98" t="n">
        <v>9</v>
      </c>
      <c r="D3" s="93" t="n"/>
      <c r="E3" s="98" t="n">
        <v>8</v>
      </c>
      <c r="F3" s="97" t="n">
        <v>6</v>
      </c>
      <c r="G3" s="93" t="n"/>
      <c r="H3" s="98" t="n">
        <v>8</v>
      </c>
      <c r="I3" s="98" t="n">
        <v>8</v>
      </c>
      <c r="J3" s="98" t="n">
        <v>8</v>
      </c>
      <c r="K3" s="98" t="n">
        <v>9</v>
      </c>
      <c r="L3" s="98" t="n">
        <v>9</v>
      </c>
      <c r="M3" s="98" t="n">
        <v>8</v>
      </c>
      <c r="N3" s="98" t="n">
        <v>9</v>
      </c>
      <c r="O3" s="93" t="n"/>
      <c r="P3" s="93" t="n"/>
      <c r="Q3" s="100" t="n">
        <v>8</v>
      </c>
      <c r="R3" s="102" t="n"/>
      <c r="S3" s="101">
        <f>IFERROR(ROUND(AVERAGE(C3:R3),1),"")</f>
        <v/>
      </c>
    </row>
    <row r="4" ht="15" customHeight="1" s="57">
      <c r="A4" s="93" t="n">
        <v>2</v>
      </c>
      <c r="B4" s="94" t="inlineStr">
        <is>
          <t>БЕРДНИКОВА ЕВГЕНИЯ</t>
        </is>
      </c>
      <c r="C4" s="98" t="n">
        <v>8</v>
      </c>
      <c r="D4" s="93" t="n"/>
      <c r="E4" s="98" t="n">
        <v>7</v>
      </c>
      <c r="F4" s="98" t="n">
        <v>8</v>
      </c>
      <c r="G4" s="98" t="n">
        <v>7</v>
      </c>
      <c r="H4" s="97" t="n">
        <v>6</v>
      </c>
      <c r="I4" s="93" t="n"/>
      <c r="J4" s="98" t="n">
        <v>7</v>
      </c>
      <c r="K4" s="98" t="n">
        <v>8</v>
      </c>
      <c r="L4" s="98" t="n">
        <v>7</v>
      </c>
      <c r="M4" s="98" t="n">
        <v>10</v>
      </c>
      <c r="N4" s="98" t="n">
        <v>9</v>
      </c>
      <c r="O4" s="98" t="n">
        <v>9</v>
      </c>
      <c r="P4" s="93" t="n"/>
      <c r="Q4" s="93" t="n"/>
      <c r="R4" s="100" t="n">
        <v>8</v>
      </c>
      <c r="S4" s="101">
        <f>IFERROR(ROUND(AVERAGE(C4:R4),1),"")</f>
        <v/>
      </c>
    </row>
    <row r="5" ht="15" customHeight="1" s="57">
      <c r="A5" s="93" t="n">
        <v>3</v>
      </c>
      <c r="B5" s="94" t="inlineStr">
        <is>
          <t>БЕРДНИКОВА ДАРЬЯ</t>
        </is>
      </c>
      <c r="C5" s="98" t="n">
        <v>8</v>
      </c>
      <c r="D5" s="98" t="n">
        <v>7</v>
      </c>
      <c r="E5" s="98" t="n">
        <v>7</v>
      </c>
      <c r="F5" s="98" t="n">
        <v>8</v>
      </c>
      <c r="G5" s="98" t="n">
        <v>7</v>
      </c>
      <c r="H5" s="98" t="n">
        <v>8</v>
      </c>
      <c r="I5" s="98" t="n">
        <v>7</v>
      </c>
      <c r="J5" s="97" t="n">
        <v>6</v>
      </c>
      <c r="K5" s="93" t="n"/>
      <c r="L5" s="98" t="n">
        <v>7</v>
      </c>
      <c r="M5" s="98" t="n">
        <v>9</v>
      </c>
      <c r="N5" s="98" t="n">
        <v>9</v>
      </c>
      <c r="O5" s="93" t="n"/>
      <c r="P5" s="93" t="n"/>
      <c r="Q5" s="100" t="n">
        <v>8</v>
      </c>
      <c r="R5" s="100" t="n">
        <v>8</v>
      </c>
      <c r="S5" s="101">
        <f>IFERROR(ROUND(AVERAGE(C5:R5),1),"")</f>
        <v/>
      </c>
    </row>
    <row r="6" ht="15" customHeight="1" s="57">
      <c r="A6" s="93" t="n">
        <v>4</v>
      </c>
      <c r="B6" s="94" t="inlineStr">
        <is>
          <t>БУЧКОВА МИЛАНА</t>
        </is>
      </c>
      <c r="C6" s="98" t="n">
        <v>8</v>
      </c>
      <c r="D6" s="93" t="n"/>
      <c r="E6" s="98" t="n">
        <v>8</v>
      </c>
      <c r="F6" s="98" t="n">
        <v>8</v>
      </c>
      <c r="G6" s="97" t="n">
        <v>5</v>
      </c>
      <c r="H6" s="98" t="n">
        <v>7</v>
      </c>
      <c r="I6" s="98" t="n">
        <v>8</v>
      </c>
      <c r="J6" s="98" t="n">
        <v>9</v>
      </c>
      <c r="K6" s="98" t="n">
        <v>8</v>
      </c>
      <c r="L6" s="98" t="n">
        <v>9</v>
      </c>
      <c r="M6" s="98" t="n">
        <v>10</v>
      </c>
      <c r="N6" s="98" t="n">
        <v>9</v>
      </c>
      <c r="O6" s="93" t="n"/>
      <c r="P6" s="93" t="n"/>
      <c r="Q6" s="100" t="n">
        <v>8</v>
      </c>
      <c r="R6" s="102" t="n"/>
      <c r="S6" s="101">
        <f>IFERROR(ROUND(AVERAGE(C6:R6),1),"")</f>
        <v/>
      </c>
    </row>
    <row r="7" ht="15" customHeight="1" s="57">
      <c r="A7" s="93" t="n">
        <v>5</v>
      </c>
      <c r="B7" s="94" t="inlineStr">
        <is>
          <t>ВАСИЛЬКОВСКИЙ ДАНИЛ</t>
        </is>
      </c>
      <c r="C7" s="98" t="n">
        <v>8</v>
      </c>
      <c r="D7" s="98" t="n">
        <v>7</v>
      </c>
      <c r="E7" s="98" t="n">
        <v>7</v>
      </c>
      <c r="F7" s="93" t="n"/>
      <c r="G7" s="98" t="n">
        <v>9</v>
      </c>
      <c r="H7" s="97" t="n">
        <v>6</v>
      </c>
      <c r="I7" s="98" t="n">
        <v>7</v>
      </c>
      <c r="J7" s="98" t="n">
        <v>7</v>
      </c>
      <c r="K7" s="93" t="n"/>
      <c r="L7" s="98" t="n">
        <v>9</v>
      </c>
      <c r="M7" s="98" t="n">
        <v>8</v>
      </c>
      <c r="N7" s="98" t="n">
        <v>9</v>
      </c>
      <c r="O7" s="98" t="n">
        <v>9</v>
      </c>
      <c r="P7" s="93" t="n"/>
      <c r="Q7" s="100" t="n">
        <v>8</v>
      </c>
      <c r="R7" s="100" t="n">
        <v>8</v>
      </c>
      <c r="S7" s="101">
        <f>IFERROR(ROUND(AVERAGE(C7:R7),1),"")</f>
        <v/>
      </c>
    </row>
    <row r="8" ht="15" customHeight="1" s="57">
      <c r="A8" s="93" t="n">
        <v>6</v>
      </c>
      <c r="B8" s="94" t="inlineStr">
        <is>
          <t>ГАЛИПАД ДАНИЛ</t>
        </is>
      </c>
      <c r="C8" s="97" t="n">
        <v>5</v>
      </c>
      <c r="D8" s="97" t="n">
        <v>6</v>
      </c>
      <c r="E8" s="93" t="n"/>
      <c r="F8" s="97" t="n">
        <v>5</v>
      </c>
      <c r="G8" s="97" t="n">
        <v>6</v>
      </c>
      <c r="H8" s="97" t="n">
        <v>6</v>
      </c>
      <c r="I8" s="93" t="n"/>
      <c r="J8" s="97" t="n">
        <v>6</v>
      </c>
      <c r="K8" s="97" t="n">
        <v>6</v>
      </c>
      <c r="L8" s="97" t="n">
        <v>5</v>
      </c>
      <c r="M8" s="97" t="n">
        <v>6</v>
      </c>
      <c r="N8" s="97" t="n">
        <v>6</v>
      </c>
      <c r="O8" s="93" t="n"/>
      <c r="P8" s="93" t="n"/>
      <c r="Q8" s="93" t="n"/>
      <c r="R8" s="103" t="n">
        <v>6</v>
      </c>
      <c r="S8" s="101">
        <f>IFERROR(ROUND(AVERAGE(C8:R8),1),"")</f>
        <v/>
      </c>
    </row>
    <row r="9" ht="15" customHeight="1" s="57">
      <c r="A9" s="93" t="n">
        <v>7</v>
      </c>
      <c r="B9" s="94" t="inlineStr">
        <is>
          <t>КИСМЕТЬЕВ ИСЛАМ</t>
        </is>
      </c>
      <c r="C9" s="97" t="n">
        <v>5</v>
      </c>
      <c r="D9" s="97" t="n">
        <v>6</v>
      </c>
      <c r="E9" s="93" t="n"/>
      <c r="F9" s="98" t="n">
        <v>7</v>
      </c>
      <c r="G9" s="97" t="n">
        <v>6</v>
      </c>
      <c r="H9" s="97" t="n">
        <v>5</v>
      </c>
      <c r="I9" s="97" t="n">
        <v>6</v>
      </c>
      <c r="J9" s="98" t="n">
        <v>7</v>
      </c>
      <c r="K9" s="97" t="n">
        <v>6</v>
      </c>
      <c r="L9" s="93" t="n"/>
      <c r="M9" s="93" t="n"/>
      <c r="N9" s="97" t="n">
        <v>6</v>
      </c>
      <c r="O9" s="93" t="n"/>
      <c r="P9" s="93" t="n"/>
      <c r="Q9" s="103" t="n">
        <v>6</v>
      </c>
      <c r="R9" s="103" t="n">
        <v>5</v>
      </c>
      <c r="S9" s="101">
        <f>IFERROR(ROUND(AVERAGE(C9:R9),1),"")</f>
        <v/>
      </c>
    </row>
    <row r="10" ht="15" customHeight="1" s="57">
      <c r="A10" s="93" t="n">
        <v>8</v>
      </c>
      <c r="B10" s="94" t="inlineStr">
        <is>
          <t>КОХ КОНДРАТ</t>
        </is>
      </c>
      <c r="C10" s="98" t="n">
        <v>9</v>
      </c>
      <c r="D10" s="98" t="n">
        <v>8</v>
      </c>
      <c r="E10" s="98" t="n">
        <v>8</v>
      </c>
      <c r="F10" s="98" t="n">
        <v>9</v>
      </c>
      <c r="G10" s="98" t="n">
        <v>8</v>
      </c>
      <c r="H10" s="98" t="n">
        <v>7</v>
      </c>
      <c r="I10" s="98" t="n">
        <v>10</v>
      </c>
      <c r="J10" s="98" t="n">
        <v>8</v>
      </c>
      <c r="K10" s="98" t="n">
        <v>8</v>
      </c>
      <c r="L10" s="98" t="n">
        <v>9</v>
      </c>
      <c r="M10" s="98" t="n">
        <v>8</v>
      </c>
      <c r="N10" s="93" t="n"/>
      <c r="O10" s="93" t="n"/>
      <c r="P10" s="93" t="n"/>
      <c r="Q10" s="100" t="n">
        <v>8</v>
      </c>
      <c r="R10" s="102" t="n"/>
      <c r="S10" s="101">
        <f>IFERROR(ROUND(AVERAGE(C10:R10),1),"")</f>
        <v/>
      </c>
    </row>
    <row r="11" ht="15" customHeight="1" s="57">
      <c r="A11" s="93" t="n">
        <v>9</v>
      </c>
      <c r="B11" s="94" t="inlineStr">
        <is>
          <t>КУЗНЕЦОВ РОМАН</t>
        </is>
      </c>
      <c r="C11" s="97" t="n">
        <v>5</v>
      </c>
      <c r="D11" s="98" t="n">
        <v>8</v>
      </c>
      <c r="E11" s="97" t="n">
        <v>6</v>
      </c>
      <c r="F11" s="98" t="n">
        <v>7</v>
      </c>
      <c r="G11" s="99" t="n">
        <v>4</v>
      </c>
      <c r="H11" s="98" t="n">
        <v>8</v>
      </c>
      <c r="I11" s="97" t="n">
        <v>6</v>
      </c>
      <c r="J11" s="98" t="n">
        <v>7</v>
      </c>
      <c r="K11" s="98" t="n">
        <v>8</v>
      </c>
      <c r="L11" s="98" t="n">
        <v>8</v>
      </c>
      <c r="M11" s="93" t="n"/>
      <c r="N11" s="93" t="n"/>
      <c r="O11" s="98" t="n">
        <v>8</v>
      </c>
      <c r="P11" s="93" t="n"/>
      <c r="Q11" s="100" t="n">
        <v>8</v>
      </c>
      <c r="R11" s="100" t="n">
        <v>8</v>
      </c>
      <c r="S11" s="101">
        <f>IFERROR(ROUND(AVERAGE(C11:R11),1),"")</f>
        <v/>
      </c>
    </row>
    <row r="12" ht="15" customHeight="1" s="57">
      <c r="A12" s="93" t="n">
        <v>10</v>
      </c>
      <c r="B12" s="94" t="inlineStr">
        <is>
          <t>ПАЗНИКОВА ДАНАЯ</t>
        </is>
      </c>
      <c r="C12" s="98" t="n">
        <v>10</v>
      </c>
      <c r="D12" s="98" t="n">
        <v>10</v>
      </c>
      <c r="E12" s="98" t="n">
        <v>10</v>
      </c>
      <c r="F12" s="98" t="n">
        <v>9</v>
      </c>
      <c r="G12" s="98" t="n">
        <v>10</v>
      </c>
      <c r="H12" s="98" t="n">
        <v>10</v>
      </c>
      <c r="I12" s="93" t="n"/>
      <c r="J12" s="98" t="n">
        <v>10</v>
      </c>
      <c r="K12" s="98" t="n">
        <v>9</v>
      </c>
      <c r="L12" s="98" t="n">
        <v>10</v>
      </c>
      <c r="M12" s="98" t="n">
        <v>10</v>
      </c>
      <c r="N12" s="98" t="n">
        <v>10</v>
      </c>
      <c r="O12" s="98" t="n">
        <v>10</v>
      </c>
      <c r="P12" s="93" t="n"/>
      <c r="Q12" s="98" t="n">
        <v>10</v>
      </c>
      <c r="R12" s="100" t="n">
        <v>9</v>
      </c>
      <c r="S12" s="101">
        <f>IFERROR(ROUND(AVERAGE(C12:R12),1),"")</f>
        <v/>
      </c>
    </row>
    <row r="13" ht="15" customHeight="1" s="57">
      <c r="A13" s="93" t="n">
        <v>11</v>
      </c>
      <c r="B13" s="94" t="inlineStr">
        <is>
          <t>ПОДОЛЬСКИЙ АРТЁМ</t>
        </is>
      </c>
      <c r="C13" s="98" t="n">
        <v>10</v>
      </c>
      <c r="D13" s="98" t="n">
        <v>10</v>
      </c>
      <c r="E13" s="93" t="n"/>
      <c r="F13" s="98" t="n">
        <v>9</v>
      </c>
      <c r="G13" s="98" t="n">
        <v>10</v>
      </c>
      <c r="H13" s="98" t="n">
        <v>10</v>
      </c>
      <c r="I13" s="98" t="n">
        <v>9</v>
      </c>
      <c r="J13" s="98" t="n">
        <v>10</v>
      </c>
      <c r="K13" s="98" t="n">
        <v>9</v>
      </c>
      <c r="L13" s="98" t="n">
        <v>10</v>
      </c>
      <c r="M13" s="98" t="n">
        <v>8</v>
      </c>
      <c r="N13" s="98" t="n">
        <v>9</v>
      </c>
      <c r="O13" s="98" t="n">
        <v>9</v>
      </c>
      <c r="P13" s="93" t="n"/>
      <c r="Q13" s="100" t="n">
        <v>10</v>
      </c>
      <c r="R13" s="102" t="n"/>
      <c r="S13" s="101">
        <f>IFERROR(ROUND(AVERAGE(C13:R13),1),"")</f>
        <v/>
      </c>
    </row>
    <row r="14" ht="15" customHeight="1" s="57">
      <c r="A14" s="93" t="n">
        <v>12</v>
      </c>
      <c r="B14" s="94" t="inlineStr">
        <is>
          <t>РАМЕНСКАЯ ВЕРОНИКА</t>
        </is>
      </c>
      <c r="C14" s="98" t="n">
        <v>8</v>
      </c>
      <c r="D14" s="93" t="n"/>
      <c r="E14" s="98" t="n">
        <v>8</v>
      </c>
      <c r="F14" s="97" t="n">
        <v>6</v>
      </c>
      <c r="G14" s="98" t="n">
        <v>8</v>
      </c>
      <c r="H14" s="98" t="n">
        <v>8</v>
      </c>
      <c r="I14" s="98" t="n">
        <v>8</v>
      </c>
      <c r="J14" s="93" t="n"/>
      <c r="K14" s="98" t="n">
        <v>9</v>
      </c>
      <c r="L14" s="98" t="n">
        <v>9</v>
      </c>
      <c r="M14" s="98" t="n">
        <v>10</v>
      </c>
      <c r="N14" s="98" t="n">
        <v>9</v>
      </c>
      <c r="O14" s="98" t="n">
        <v>9</v>
      </c>
      <c r="P14" s="93" t="n"/>
      <c r="Q14" s="100" t="n">
        <v>8</v>
      </c>
      <c r="R14" s="100" t="n">
        <v>8</v>
      </c>
      <c r="S14" s="101">
        <f>IFERROR(ROUND(AVERAGE(C14:R14),1),"")</f>
        <v/>
      </c>
    </row>
    <row r="15" ht="15" customHeight="1" s="57">
      <c r="A15" s="93" t="n">
        <v>13</v>
      </c>
      <c r="B15" s="94" t="inlineStr">
        <is>
          <t>РОМАЗЕЕВА АЛЁНА</t>
        </is>
      </c>
      <c r="C15" s="97" t="n">
        <v>6</v>
      </c>
      <c r="D15" s="93" t="n"/>
      <c r="E15" s="97" t="n">
        <v>6</v>
      </c>
      <c r="F15" s="97" t="n">
        <v>6</v>
      </c>
      <c r="G15" s="97" t="n">
        <v>6</v>
      </c>
      <c r="H15" s="93" t="n"/>
      <c r="I15" s="97" t="n">
        <v>6</v>
      </c>
      <c r="J15" s="97" t="n">
        <v>6</v>
      </c>
      <c r="K15" s="97" t="n">
        <v>6</v>
      </c>
      <c r="L15" s="97" t="n">
        <v>6</v>
      </c>
      <c r="M15" s="93" t="n"/>
      <c r="N15" s="97" t="n">
        <v>6</v>
      </c>
      <c r="O15" s="93" t="n"/>
      <c r="P15" s="93" t="n"/>
      <c r="Q15" s="93" t="n"/>
      <c r="R15" s="103" t="n">
        <v>6</v>
      </c>
      <c r="S15" s="101">
        <f>IFERROR(ROUND(AVERAGE(C15:R15),1),"")</f>
        <v/>
      </c>
    </row>
    <row r="16" ht="15" customHeight="1" s="57">
      <c r="A16" s="93" t="n">
        <v>14</v>
      </c>
      <c r="B16" s="94" t="inlineStr">
        <is>
          <t>Романишина Ульяна</t>
        </is>
      </c>
      <c r="C16" s="98" t="n">
        <v>10</v>
      </c>
      <c r="D16" s="98" t="n">
        <v>9</v>
      </c>
      <c r="E16" s="98" t="n">
        <v>10</v>
      </c>
      <c r="F16" s="98" t="n">
        <v>9</v>
      </c>
      <c r="G16" s="98" t="n">
        <v>10</v>
      </c>
      <c r="H16" s="93" t="n"/>
      <c r="I16" s="98" t="n">
        <v>9</v>
      </c>
      <c r="J16" s="98" t="n">
        <v>9</v>
      </c>
      <c r="K16" s="98" t="n">
        <v>10</v>
      </c>
      <c r="L16" s="98" t="n">
        <v>10</v>
      </c>
      <c r="M16" s="98" t="n">
        <v>10</v>
      </c>
      <c r="N16" s="98" t="n">
        <v>10</v>
      </c>
      <c r="O16" s="98" t="n">
        <v>10</v>
      </c>
      <c r="P16" s="93" t="n"/>
      <c r="Q16" s="93" t="n"/>
      <c r="R16" s="100" t="n">
        <v>9</v>
      </c>
      <c r="S16" s="101">
        <f>IFERROR(ROUND(AVERAGE(C16:R16),1),"")</f>
        <v/>
      </c>
    </row>
  </sheetData>
  <mergeCells count="1">
    <mergeCell ref="A1:S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Z15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2" ySplit="2" topLeftCell="H3" activePane="bottomRight" state="frozen"/>
      <selection pane="topLeft" activeCell="A1" activeCellId="0" sqref="A1"/>
      <selection pane="topRight" activeCell="H1" activeCellId="0" sqref="H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5" customWidth="1" style="56" min="1" max="1"/>
    <col width="28" customWidth="1" style="56" min="2" max="2"/>
    <col width="9" customWidth="1" style="56" min="3" max="24"/>
    <col width="10" customWidth="1" style="56" min="26" max="26"/>
  </cols>
  <sheetData>
    <row r="1" ht="17.25" customHeight="1" s="57">
      <c r="A1" s="91" t="inlineStr">
        <is>
          <t>8Б Алгебра — оценки (на 23.10.2026)</t>
        </is>
      </c>
    </row>
    <row r="2" ht="31.5" customHeight="1" s="57">
      <c r="A2" s="92" t="inlineStr">
        <is>
          <t>№</t>
        </is>
      </c>
      <c r="B2" s="92" t="inlineStr">
        <is>
          <t>ФИО</t>
        </is>
      </c>
      <c r="C2" s="92" t="inlineStr">
        <is>
          <t>02.09.26</t>
        </is>
      </c>
      <c r="D2" s="92" t="inlineStr">
        <is>
          <t>04.09.26</t>
        </is>
      </c>
      <c r="E2" s="92" t="inlineStr">
        <is>
          <t>07.09.26</t>
        </is>
      </c>
      <c r="F2" s="92" t="inlineStr">
        <is>
          <t>09.09.26</t>
        </is>
      </c>
      <c r="G2" s="92" t="inlineStr">
        <is>
          <t>11.09.26</t>
        </is>
      </c>
      <c r="H2" s="92" t="inlineStr">
        <is>
          <t>14.09.26</t>
        </is>
      </c>
      <c r="I2" s="92" t="inlineStr">
        <is>
          <t>16.09.26</t>
        </is>
      </c>
      <c r="J2" s="92" t="inlineStr">
        <is>
          <t>18.09.26</t>
        </is>
      </c>
      <c r="K2" s="92" t="inlineStr">
        <is>
          <t>21.09.26</t>
        </is>
      </c>
      <c r="L2" s="92" t="inlineStr">
        <is>
          <t>23.09.26</t>
        </is>
      </c>
      <c r="M2" s="92" t="inlineStr">
        <is>
          <t>25.09.26</t>
        </is>
      </c>
      <c r="N2" s="92" t="inlineStr">
        <is>
          <t>28.09.26</t>
        </is>
      </c>
      <c r="O2" s="92" t="inlineStr">
        <is>
          <t>30.09.26</t>
        </is>
      </c>
      <c r="P2" s="92" t="inlineStr">
        <is>
          <t>02.10.26</t>
        </is>
      </c>
      <c r="Q2" s="92" t="inlineStr">
        <is>
          <t>05.10.26</t>
        </is>
      </c>
      <c r="R2" s="92" t="inlineStr">
        <is>
          <t>07.10.26</t>
        </is>
      </c>
      <c r="S2" s="92" t="inlineStr">
        <is>
          <t>09.10.26</t>
        </is>
      </c>
      <c r="T2" s="95" t="inlineStr">
        <is>
          <t>12.10.26
СОР</t>
        </is>
      </c>
      <c r="U2" s="92" t="inlineStr">
        <is>
          <t>14.10.26</t>
        </is>
      </c>
      <c r="V2" s="96" t="inlineStr">
        <is>
          <t>16.10.26
СОЧ</t>
        </is>
      </c>
      <c r="W2" s="92" t="inlineStr">
        <is>
          <t>19.10.26</t>
        </is>
      </c>
      <c r="X2" s="92" t="inlineStr">
        <is>
          <t>21.10.26</t>
        </is>
      </c>
      <c r="Y2" s="92" t="inlineStr">
        <is>
          <t>23.10.26</t>
        </is>
      </c>
      <c r="Z2" s="92" t="inlineStr">
        <is>
          <t>Средний</t>
        </is>
      </c>
    </row>
    <row r="3" ht="15" customHeight="1" s="57">
      <c r="A3" s="93" t="n">
        <v>1</v>
      </c>
      <c r="B3" s="94" t="inlineStr">
        <is>
          <t>ГАЛЛЕ ВАЛЕРИЙ</t>
        </is>
      </c>
      <c r="C3" s="97" t="n">
        <v>5</v>
      </c>
      <c r="D3" s="98" t="n">
        <v>7</v>
      </c>
      <c r="E3" s="93" t="n"/>
      <c r="F3" s="98" t="n">
        <v>9</v>
      </c>
      <c r="G3" s="97" t="n">
        <v>6</v>
      </c>
      <c r="H3" s="98" t="n">
        <v>7</v>
      </c>
      <c r="I3" s="98" t="n">
        <v>7</v>
      </c>
      <c r="J3" s="93" t="n"/>
      <c r="K3" s="93" t="n"/>
      <c r="L3" s="98" t="n">
        <v>7</v>
      </c>
      <c r="M3" s="97" t="n">
        <v>6</v>
      </c>
      <c r="N3" s="93" t="n"/>
      <c r="O3" s="93" t="n"/>
      <c r="P3" s="98" t="n">
        <v>7</v>
      </c>
      <c r="Q3" s="93" t="n"/>
      <c r="R3" s="98" t="n">
        <v>8</v>
      </c>
      <c r="S3" s="93" t="n"/>
      <c r="T3" s="93" t="n"/>
      <c r="U3" s="103" t="n">
        <v>6</v>
      </c>
      <c r="V3" s="93" t="n"/>
      <c r="W3" s="103" t="n">
        <v>6</v>
      </c>
      <c r="X3" s="103" t="n">
        <v>5</v>
      </c>
      <c r="Y3" s="102" t="n"/>
      <c r="Z3" s="101">
        <f>IFERROR(ROUND(AVERAGE(C3:Y3),1),"")</f>
        <v/>
      </c>
    </row>
    <row r="4" ht="15" customHeight="1" s="57">
      <c r="A4" s="93" t="n">
        <v>2</v>
      </c>
      <c r="B4" s="94" t="inlineStr">
        <is>
          <t>ДОЙНЕКО СОФИЯ</t>
        </is>
      </c>
      <c r="C4" s="98" t="n">
        <v>9</v>
      </c>
      <c r="D4" s="93" t="n"/>
      <c r="E4" s="98" t="n">
        <v>9</v>
      </c>
      <c r="F4" s="98" t="n">
        <v>9</v>
      </c>
      <c r="G4" s="98" t="n">
        <v>8</v>
      </c>
      <c r="H4" s="98" t="n">
        <v>9</v>
      </c>
      <c r="I4" s="93" t="n"/>
      <c r="J4" s="98" t="n">
        <v>10</v>
      </c>
      <c r="K4" s="98" t="n">
        <v>9</v>
      </c>
      <c r="L4" s="93" t="n"/>
      <c r="M4" s="98" t="n">
        <v>8</v>
      </c>
      <c r="N4" s="98" t="n">
        <v>9</v>
      </c>
      <c r="O4" s="98" t="n">
        <v>9</v>
      </c>
      <c r="P4" s="98" t="n">
        <v>10</v>
      </c>
      <c r="Q4" s="98" t="n">
        <v>9</v>
      </c>
      <c r="R4" s="93" t="n"/>
      <c r="S4" s="98" t="n">
        <v>9</v>
      </c>
      <c r="T4" s="98" t="n">
        <v>7</v>
      </c>
      <c r="U4" s="100" t="n">
        <v>9</v>
      </c>
      <c r="V4" s="93" t="n"/>
      <c r="W4" s="100" t="n">
        <v>9</v>
      </c>
      <c r="X4" s="100" t="n">
        <v>10</v>
      </c>
      <c r="Y4" s="100" t="n">
        <v>9</v>
      </c>
      <c r="Z4" s="101">
        <f>IFERROR(ROUND(AVERAGE(C4:Y4),1),"")</f>
        <v/>
      </c>
    </row>
    <row r="5" ht="15" customHeight="1" s="57">
      <c r="A5" s="93" t="n">
        <v>3</v>
      </c>
      <c r="B5" s="94" t="inlineStr">
        <is>
          <t>ЖЕЛНИНА ВЕРА</t>
        </is>
      </c>
      <c r="C5" s="98" t="n">
        <v>8</v>
      </c>
      <c r="D5" s="98" t="n">
        <v>7</v>
      </c>
      <c r="E5" s="98" t="n">
        <v>9</v>
      </c>
      <c r="F5" s="93" t="n"/>
      <c r="G5" s="98" t="n">
        <v>8</v>
      </c>
      <c r="H5" s="97" t="n">
        <v>6</v>
      </c>
      <c r="I5" s="98" t="n">
        <v>9</v>
      </c>
      <c r="J5" s="98" t="n">
        <v>7</v>
      </c>
      <c r="K5" s="98" t="n">
        <v>9</v>
      </c>
      <c r="L5" s="98" t="n">
        <v>7</v>
      </c>
      <c r="M5" s="98" t="n">
        <v>7</v>
      </c>
      <c r="N5" s="97" t="n">
        <v>5</v>
      </c>
      <c r="O5" s="98" t="n">
        <v>9</v>
      </c>
      <c r="P5" s="98" t="n">
        <v>7</v>
      </c>
      <c r="Q5" s="98" t="n">
        <v>8</v>
      </c>
      <c r="R5" s="98" t="n">
        <v>8</v>
      </c>
      <c r="S5" s="93" t="n"/>
      <c r="T5" s="93" t="n"/>
      <c r="U5" s="100" t="n">
        <v>8</v>
      </c>
      <c r="V5" s="93" t="n"/>
      <c r="W5" s="93" t="n"/>
      <c r="X5" s="100" t="n">
        <v>8</v>
      </c>
      <c r="Y5" s="100" t="n">
        <v>8</v>
      </c>
      <c r="Z5" s="101">
        <f>IFERROR(ROUND(AVERAGE(C5:Y5),1),"")</f>
        <v/>
      </c>
    </row>
    <row r="6" ht="15" customHeight="1" s="57">
      <c r="A6" s="93" t="n">
        <v>4</v>
      </c>
      <c r="B6" s="94" t="inlineStr">
        <is>
          <t>ПОТАНИН ВАЛЕРИЙ</t>
        </is>
      </c>
      <c r="C6" s="97" t="n">
        <v>5</v>
      </c>
      <c r="D6" s="93" t="n"/>
      <c r="E6" s="97" t="n">
        <v>6</v>
      </c>
      <c r="F6" s="97" t="n">
        <v>5</v>
      </c>
      <c r="G6" s="93" t="n"/>
      <c r="H6" s="97" t="n">
        <v>5</v>
      </c>
      <c r="I6" s="97" t="n">
        <v>5</v>
      </c>
      <c r="J6" s="97" t="n">
        <v>6</v>
      </c>
      <c r="K6" s="93" t="n"/>
      <c r="L6" s="97" t="n">
        <v>5</v>
      </c>
      <c r="M6" s="97" t="n">
        <v>5</v>
      </c>
      <c r="N6" s="93" t="n"/>
      <c r="O6" s="93" t="n"/>
      <c r="P6" s="97" t="n">
        <v>6</v>
      </c>
      <c r="Q6" s="93" t="n"/>
      <c r="R6" s="98" t="n">
        <v>8</v>
      </c>
      <c r="S6" s="93" t="n"/>
      <c r="T6" s="93" t="n"/>
      <c r="U6" s="103" t="n">
        <v>5</v>
      </c>
      <c r="V6" s="93" t="n"/>
      <c r="W6" s="93" t="n"/>
      <c r="X6" s="93" t="n"/>
      <c r="Y6" s="103" t="n">
        <v>5</v>
      </c>
      <c r="Z6" s="101">
        <f>IFERROR(ROUND(AVERAGE(C6:Y6),1),"")</f>
        <v/>
      </c>
    </row>
    <row r="7" ht="15" customHeight="1" s="57">
      <c r="A7" s="93" t="n">
        <v>5</v>
      </c>
      <c r="B7" s="94" t="inlineStr">
        <is>
          <t>РОМАНОВА ЕВА</t>
        </is>
      </c>
      <c r="C7" s="98" t="n">
        <v>7</v>
      </c>
      <c r="D7" s="98" t="n">
        <v>8</v>
      </c>
      <c r="E7" s="98" t="n">
        <v>8</v>
      </c>
      <c r="F7" s="97" t="n">
        <v>6</v>
      </c>
      <c r="G7" s="98" t="n">
        <v>8</v>
      </c>
      <c r="H7" s="98" t="n">
        <v>9</v>
      </c>
      <c r="I7" s="98" t="n">
        <v>7</v>
      </c>
      <c r="J7" s="97" t="n">
        <v>6</v>
      </c>
      <c r="K7" s="97" t="n">
        <v>6</v>
      </c>
      <c r="L7" s="98" t="n">
        <v>7</v>
      </c>
      <c r="M7" s="98" t="n">
        <v>8</v>
      </c>
      <c r="N7" s="97" t="n">
        <v>6</v>
      </c>
      <c r="O7" s="98" t="n">
        <v>8</v>
      </c>
      <c r="P7" s="98" t="n">
        <v>8</v>
      </c>
      <c r="Q7" s="98" t="n">
        <v>7</v>
      </c>
      <c r="R7" s="93" t="n"/>
      <c r="S7" s="98" t="n">
        <v>8</v>
      </c>
      <c r="T7" s="98" t="n">
        <v>9</v>
      </c>
      <c r="U7" s="93" t="n"/>
      <c r="V7" s="93" t="n"/>
      <c r="W7" s="103" t="n">
        <v>5</v>
      </c>
      <c r="X7" s="103" t="n">
        <v>9</v>
      </c>
      <c r="Y7" s="103" t="n">
        <v>5</v>
      </c>
      <c r="Z7" s="101">
        <f>IFERROR(ROUND(AVERAGE(C7:Y7),1),"")</f>
        <v/>
      </c>
    </row>
    <row r="8" ht="15" customHeight="1" s="57">
      <c r="A8" s="93" t="n">
        <v>6</v>
      </c>
      <c r="B8" s="94" t="inlineStr">
        <is>
          <t>САҒИТ ӘМІР</t>
        </is>
      </c>
      <c r="C8" s="98" t="n">
        <v>8</v>
      </c>
      <c r="D8" s="98" t="n">
        <v>9</v>
      </c>
      <c r="E8" s="98" t="n">
        <v>10</v>
      </c>
      <c r="F8" s="98" t="n">
        <v>9</v>
      </c>
      <c r="G8" s="93" t="n"/>
      <c r="H8" s="93" t="n"/>
      <c r="I8" s="98" t="n">
        <v>9</v>
      </c>
      <c r="J8" s="98" t="n">
        <v>9</v>
      </c>
      <c r="K8" s="98" t="n">
        <v>10</v>
      </c>
      <c r="L8" s="98" t="n">
        <v>9</v>
      </c>
      <c r="M8" s="93" t="n"/>
      <c r="N8" s="98" t="n">
        <v>7</v>
      </c>
      <c r="O8" s="98" t="n">
        <v>8</v>
      </c>
      <c r="P8" s="98" t="n">
        <v>8</v>
      </c>
      <c r="Q8" s="98" t="n">
        <v>8</v>
      </c>
      <c r="R8" s="93" t="n"/>
      <c r="S8" s="97" t="n">
        <v>6</v>
      </c>
      <c r="T8" s="97" t="n">
        <v>5</v>
      </c>
      <c r="U8" s="100" t="n">
        <v>8</v>
      </c>
      <c r="V8" s="93" t="n"/>
      <c r="W8" s="100" t="n">
        <v>8</v>
      </c>
      <c r="X8" s="102" t="n"/>
      <c r="Y8" s="100" t="n">
        <v>8</v>
      </c>
      <c r="Z8" s="101">
        <f>IFERROR(ROUND(AVERAGE(C8:Y8),1),"")</f>
        <v/>
      </c>
    </row>
    <row r="9" ht="15" customHeight="1" s="57">
      <c r="A9" s="93" t="n">
        <v>7</v>
      </c>
      <c r="B9" s="94" t="inlineStr">
        <is>
          <t>ТОРЧИНСКИЙ МАТВЕЙ</t>
        </is>
      </c>
      <c r="C9" s="98" t="n">
        <v>8</v>
      </c>
      <c r="D9" s="98" t="n">
        <v>7</v>
      </c>
      <c r="E9" s="93" t="n"/>
      <c r="F9" s="98" t="n">
        <v>7</v>
      </c>
      <c r="G9" s="98" t="n">
        <v>8</v>
      </c>
      <c r="H9" s="98" t="n">
        <v>7</v>
      </c>
      <c r="I9" s="98" t="n">
        <v>8</v>
      </c>
      <c r="J9" s="98" t="n">
        <v>7</v>
      </c>
      <c r="K9" s="98" t="n">
        <v>7</v>
      </c>
      <c r="L9" s="97" t="n">
        <v>6</v>
      </c>
      <c r="M9" s="98" t="n">
        <v>7</v>
      </c>
      <c r="N9" s="98" t="n">
        <v>7</v>
      </c>
      <c r="O9" s="98" t="n">
        <v>7</v>
      </c>
      <c r="P9" s="98" t="n">
        <v>7</v>
      </c>
      <c r="Q9" s="98" t="n">
        <v>8</v>
      </c>
      <c r="R9" s="93" t="n"/>
      <c r="S9" s="98" t="n">
        <v>8</v>
      </c>
      <c r="T9" s="97" t="n">
        <v>5</v>
      </c>
      <c r="U9" s="100" t="n">
        <v>8</v>
      </c>
      <c r="V9" s="93" t="n"/>
      <c r="W9" s="100" t="n">
        <v>8</v>
      </c>
      <c r="X9" s="100" t="n">
        <v>8</v>
      </c>
      <c r="Y9" s="100" t="n">
        <v>8</v>
      </c>
      <c r="Z9" s="101">
        <f>IFERROR(ROUND(AVERAGE(C9:Y9),1),"")</f>
        <v/>
      </c>
    </row>
    <row r="10" ht="15" customHeight="1" s="57">
      <c r="A10" s="93" t="n">
        <v>8</v>
      </c>
      <c r="B10" s="94" t="inlineStr">
        <is>
          <t>ФОМИН МАКСИМ</t>
        </is>
      </c>
      <c r="C10" s="98" t="n">
        <v>10</v>
      </c>
      <c r="D10" s="98" t="n">
        <v>9</v>
      </c>
      <c r="E10" s="98" t="n">
        <v>9</v>
      </c>
      <c r="F10" s="93" t="n"/>
      <c r="G10" s="98" t="n">
        <v>9</v>
      </c>
      <c r="H10" s="98" t="n">
        <v>9</v>
      </c>
      <c r="I10" s="93" t="n"/>
      <c r="J10" s="98" t="n">
        <v>9</v>
      </c>
      <c r="K10" s="98" t="n">
        <v>9</v>
      </c>
      <c r="L10" s="98" t="n">
        <v>9</v>
      </c>
      <c r="M10" s="98" t="n">
        <v>9</v>
      </c>
      <c r="N10" s="98" t="n">
        <v>10</v>
      </c>
      <c r="O10" s="93" t="n"/>
      <c r="P10" s="98" t="n">
        <v>10</v>
      </c>
      <c r="Q10" s="98" t="n">
        <v>8</v>
      </c>
      <c r="R10" s="98" t="n">
        <v>10</v>
      </c>
      <c r="S10" s="93" t="n"/>
      <c r="T10" s="98" t="n">
        <v>9</v>
      </c>
      <c r="U10" s="100" t="n">
        <v>8</v>
      </c>
      <c r="V10" s="93" t="n"/>
      <c r="W10" s="100" t="n">
        <v>8</v>
      </c>
      <c r="X10" s="100" t="n">
        <v>8</v>
      </c>
      <c r="Y10" s="100" t="n">
        <v>8</v>
      </c>
      <c r="Z10" s="101">
        <f>IFERROR(ROUND(AVERAGE(C10:Y10),1),"")</f>
        <v/>
      </c>
    </row>
    <row r="11" ht="15" customHeight="1" s="57">
      <c r="A11" s="93" t="n">
        <v>9</v>
      </c>
      <c r="B11" s="94" t="inlineStr">
        <is>
          <t>ЧАЙКА ТАИСИЯ</t>
        </is>
      </c>
      <c r="C11" s="98" t="n">
        <v>10</v>
      </c>
      <c r="D11" s="98" t="n">
        <v>10</v>
      </c>
      <c r="E11" s="98" t="n">
        <v>10</v>
      </c>
      <c r="F11" s="98" t="n">
        <v>9</v>
      </c>
      <c r="G11" s="93" t="n"/>
      <c r="H11" s="98" t="n">
        <v>10</v>
      </c>
      <c r="I11" s="98" t="n">
        <v>10</v>
      </c>
      <c r="J11" s="98" t="n">
        <v>10</v>
      </c>
      <c r="K11" s="98" t="n">
        <v>10</v>
      </c>
      <c r="L11" s="98" t="n">
        <v>10</v>
      </c>
      <c r="M11" s="98" t="n">
        <v>10</v>
      </c>
      <c r="N11" s="98" t="n">
        <v>10</v>
      </c>
      <c r="O11" s="98" t="n">
        <v>10</v>
      </c>
      <c r="P11" s="98" t="n">
        <v>10</v>
      </c>
      <c r="Q11" s="98" t="n">
        <v>9</v>
      </c>
      <c r="R11" s="98" t="n">
        <v>10</v>
      </c>
      <c r="S11" s="98" t="n">
        <v>10</v>
      </c>
      <c r="T11" s="98" t="n">
        <v>10</v>
      </c>
      <c r="U11" s="98" t="n">
        <v>10</v>
      </c>
      <c r="V11" s="93" t="n"/>
      <c r="W11" s="98" t="n">
        <v>10</v>
      </c>
      <c r="X11" s="100" t="n">
        <v>9</v>
      </c>
      <c r="Y11" s="100" t="n">
        <v>9</v>
      </c>
      <c r="Z11" s="101">
        <f>IFERROR(ROUND(AVERAGE(C11:Y11),1),"")</f>
        <v/>
      </c>
    </row>
    <row r="12" ht="15" customHeight="1" s="57">
      <c r="A12" s="93" t="n">
        <v>10</v>
      </c>
      <c r="B12" s="94" t="inlineStr">
        <is>
          <t>ШАРБАКПАЕВА АЙДАРИЯ</t>
        </is>
      </c>
      <c r="C12" s="98" t="n">
        <v>7</v>
      </c>
      <c r="D12" s="98" t="n">
        <v>8</v>
      </c>
      <c r="E12" s="98" t="n">
        <v>8</v>
      </c>
      <c r="F12" s="97" t="n">
        <v>6</v>
      </c>
      <c r="G12" s="98" t="n">
        <v>8</v>
      </c>
      <c r="H12" s="98" t="n">
        <v>9</v>
      </c>
      <c r="I12" s="98" t="n">
        <v>7</v>
      </c>
      <c r="J12" s="93" t="n"/>
      <c r="K12" s="97" t="n">
        <v>6</v>
      </c>
      <c r="L12" s="93" t="n"/>
      <c r="M12" s="98" t="n">
        <v>8</v>
      </c>
      <c r="N12" s="98" t="n">
        <v>7</v>
      </c>
      <c r="O12" s="98" t="n">
        <v>8</v>
      </c>
      <c r="P12" s="98" t="n">
        <v>8</v>
      </c>
      <c r="Q12" s="97" t="n">
        <v>6</v>
      </c>
      <c r="R12" s="93" t="n"/>
      <c r="S12" s="98" t="n">
        <v>8</v>
      </c>
      <c r="T12" s="98" t="n">
        <v>9</v>
      </c>
      <c r="U12" s="100" t="n">
        <v>8</v>
      </c>
      <c r="V12" s="93" t="n"/>
      <c r="W12" s="100" t="n">
        <v>8</v>
      </c>
      <c r="X12" s="100" t="n">
        <v>8</v>
      </c>
      <c r="Y12" s="100" t="n">
        <v>8</v>
      </c>
      <c r="Z12" s="101">
        <f>IFERROR(ROUND(AVERAGE(C12:Y12),1),"")</f>
        <v/>
      </c>
    </row>
    <row r="13" ht="15" customHeight="1" s="57">
      <c r="A13" s="93" t="n">
        <v>11</v>
      </c>
      <c r="B13" s="94" t="inlineStr">
        <is>
          <t>ШАРИПОВА ВЕРА</t>
        </is>
      </c>
      <c r="C13" s="97" t="n">
        <v>6</v>
      </c>
      <c r="D13" s="98" t="n">
        <v>8</v>
      </c>
      <c r="E13" s="93" t="n"/>
      <c r="F13" s="93" t="n"/>
      <c r="G13" s="97" t="n">
        <v>6</v>
      </c>
      <c r="H13" s="93" t="n"/>
      <c r="I13" s="93" t="n"/>
      <c r="J13" s="98" t="n">
        <v>10</v>
      </c>
      <c r="K13" s="97" t="n">
        <v>6</v>
      </c>
      <c r="L13" s="97" t="n">
        <v>6</v>
      </c>
      <c r="M13" s="98" t="n">
        <v>8</v>
      </c>
      <c r="N13" s="93" t="n"/>
      <c r="O13" s="97" t="n">
        <v>6</v>
      </c>
      <c r="P13" s="97" t="n">
        <v>6</v>
      </c>
      <c r="Q13" s="97" t="n">
        <v>6</v>
      </c>
      <c r="R13" s="98" t="n">
        <v>8</v>
      </c>
      <c r="S13" s="98" t="n">
        <v>8</v>
      </c>
      <c r="T13" s="93" t="n"/>
      <c r="U13" s="93" t="n"/>
      <c r="V13" s="93" t="n"/>
      <c r="W13" s="103" t="n">
        <v>6</v>
      </c>
      <c r="X13" s="102" t="n"/>
      <c r="Y13" s="103" t="n">
        <v>5</v>
      </c>
      <c r="Z13" s="101">
        <f>IFERROR(ROUND(AVERAGE(C13:Y13),1),"")</f>
        <v/>
      </c>
    </row>
    <row r="14" ht="15" customHeight="1" s="57">
      <c r="A14" s="93" t="n">
        <v>12</v>
      </c>
      <c r="B14" s="94" t="inlineStr">
        <is>
          <t>ШИШ АРТЁМ</t>
        </is>
      </c>
      <c r="C14" s="97" t="n">
        <v>6</v>
      </c>
      <c r="D14" s="97" t="n">
        <v>6</v>
      </c>
      <c r="E14" s="97" t="n">
        <v>6</v>
      </c>
      <c r="F14" s="98" t="n">
        <v>7</v>
      </c>
      <c r="G14" s="98" t="n">
        <v>8</v>
      </c>
      <c r="H14" s="97" t="n">
        <v>6</v>
      </c>
      <c r="I14" s="98" t="n">
        <v>8</v>
      </c>
      <c r="J14" s="97" t="n">
        <v>6</v>
      </c>
      <c r="K14" s="97" t="n">
        <v>6</v>
      </c>
      <c r="L14" s="98" t="n">
        <v>7</v>
      </c>
      <c r="M14" s="97" t="n">
        <v>5</v>
      </c>
      <c r="N14" s="97" t="n">
        <v>6</v>
      </c>
      <c r="O14" s="98" t="n">
        <v>8</v>
      </c>
      <c r="P14" s="97" t="n">
        <v>6</v>
      </c>
      <c r="Q14" s="93" t="n"/>
      <c r="R14" s="93" t="n"/>
      <c r="S14" s="98" t="n">
        <v>7</v>
      </c>
      <c r="T14" s="97" t="n">
        <v>6</v>
      </c>
      <c r="U14" s="93" t="n"/>
      <c r="V14" s="93" t="n"/>
      <c r="W14" s="103" t="n">
        <v>5</v>
      </c>
      <c r="X14" s="103" t="n">
        <v>6</v>
      </c>
      <c r="Y14" s="102" t="n"/>
      <c r="Z14" s="101">
        <f>IFERROR(ROUND(AVERAGE(C14:Y14),1),"")</f>
        <v/>
      </c>
    </row>
    <row r="15" ht="15" customHeight="1" s="57">
      <c r="A15" s="93" t="n">
        <v>13</v>
      </c>
      <c r="B15" s="94" t="inlineStr">
        <is>
          <t>ЩЕГЛОВ КИРИЛЛ</t>
        </is>
      </c>
      <c r="C15" s="97" t="n">
        <v>6</v>
      </c>
      <c r="D15" s="93" t="n"/>
      <c r="E15" s="97" t="n">
        <v>6</v>
      </c>
      <c r="F15" s="98" t="n">
        <v>8</v>
      </c>
      <c r="G15" s="97" t="n">
        <v>6</v>
      </c>
      <c r="H15" s="97" t="n">
        <v>6</v>
      </c>
      <c r="I15" s="97" t="n">
        <v>6</v>
      </c>
      <c r="J15" s="93" t="n"/>
      <c r="K15" s="97" t="n">
        <v>6</v>
      </c>
      <c r="L15" s="97" t="n">
        <v>6</v>
      </c>
      <c r="M15" s="97" t="n">
        <v>5</v>
      </c>
      <c r="N15" s="93" t="n"/>
      <c r="O15" s="97" t="n">
        <v>6</v>
      </c>
      <c r="P15" s="97" t="n">
        <v>6</v>
      </c>
      <c r="Q15" s="97" t="n">
        <v>6</v>
      </c>
      <c r="R15" s="93" t="n"/>
      <c r="S15" s="97" t="n">
        <v>6</v>
      </c>
      <c r="T15" s="93" t="n"/>
      <c r="U15" s="103" t="n">
        <v>6</v>
      </c>
      <c r="V15" s="93" t="n"/>
      <c r="W15" s="93" t="n"/>
      <c r="X15" s="103" t="n">
        <v>5</v>
      </c>
      <c r="Y15" s="93" t="n"/>
      <c r="Z15" s="101">
        <f>IFERROR(ROUND(AVERAGE(C15:Y15),1),"")</f>
        <v/>
      </c>
    </row>
  </sheetData>
  <mergeCells count="1">
    <mergeCell ref="A1:Z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S15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5" customWidth="1" style="56" min="1" max="1"/>
    <col width="28" customWidth="1" style="56" min="2" max="2"/>
    <col width="9" customWidth="1" style="56" min="3" max="18"/>
    <col width="10" customWidth="1" style="56" min="19" max="19"/>
  </cols>
  <sheetData>
    <row r="1" ht="17.25" customHeight="1" s="57">
      <c r="A1" s="91" t="inlineStr">
        <is>
          <t>8Б Геометрия — оценки (на 23.10.2026)</t>
        </is>
      </c>
    </row>
    <row r="2" ht="31.5" customHeight="1" s="57">
      <c r="A2" s="92" t="inlineStr">
        <is>
          <t>№</t>
        </is>
      </c>
      <c r="B2" s="92" t="inlineStr">
        <is>
          <t>ФИО</t>
        </is>
      </c>
      <c r="C2" s="92" t="inlineStr">
        <is>
          <t>01.09.26</t>
        </is>
      </c>
      <c r="D2" s="92" t="inlineStr">
        <is>
          <t>03.09.26</t>
        </is>
      </c>
      <c r="E2" s="92" t="inlineStr">
        <is>
          <t>08.09.26</t>
        </is>
      </c>
      <c r="F2" s="92" t="inlineStr">
        <is>
          <t>10.09.26</t>
        </is>
      </c>
      <c r="G2" s="92" t="inlineStr">
        <is>
          <t>15.09.26</t>
        </is>
      </c>
      <c r="H2" s="92" t="inlineStr">
        <is>
          <t>17.09.26</t>
        </is>
      </c>
      <c r="I2" s="92" t="inlineStr">
        <is>
          <t>22.09.26</t>
        </is>
      </c>
      <c r="J2" s="92" t="inlineStr">
        <is>
          <t>24.09.26</t>
        </is>
      </c>
      <c r="K2" s="92" t="inlineStr">
        <is>
          <t>29.09.26</t>
        </is>
      </c>
      <c r="L2" s="92" t="inlineStr">
        <is>
          <t>01.10.26</t>
        </is>
      </c>
      <c r="M2" s="92" t="inlineStr">
        <is>
          <t>06.10.26</t>
        </is>
      </c>
      <c r="N2" s="92" t="inlineStr">
        <is>
          <t>08.10.26</t>
        </is>
      </c>
      <c r="O2" s="95" t="inlineStr">
        <is>
          <t>13.10.26
СОР</t>
        </is>
      </c>
      <c r="P2" s="96" t="inlineStr">
        <is>
          <t>15.10.26
СОЧ</t>
        </is>
      </c>
      <c r="Q2" s="92" t="inlineStr">
        <is>
          <t>20.10.26</t>
        </is>
      </c>
      <c r="R2" s="92" t="inlineStr">
        <is>
          <t>22.10.26</t>
        </is>
      </c>
      <c r="S2" s="92" t="inlineStr">
        <is>
          <t>Средний</t>
        </is>
      </c>
    </row>
    <row r="3" ht="15" customHeight="1" s="57">
      <c r="A3" s="93" t="n">
        <v>1</v>
      </c>
      <c r="B3" s="94" t="inlineStr">
        <is>
          <t>ГАЛЛЕ ВАЛЕРИЙ</t>
        </is>
      </c>
      <c r="C3" s="93" t="n"/>
      <c r="D3" s="98" t="n">
        <v>7</v>
      </c>
      <c r="E3" s="93" t="n"/>
      <c r="F3" s="98" t="n">
        <v>9</v>
      </c>
      <c r="G3" s="97" t="n">
        <v>6</v>
      </c>
      <c r="H3" s="98" t="n">
        <v>7</v>
      </c>
      <c r="I3" s="98" t="n">
        <v>7</v>
      </c>
      <c r="J3" s="93" t="n"/>
      <c r="K3" s="97" t="n">
        <v>6</v>
      </c>
      <c r="L3" s="98" t="n">
        <v>7</v>
      </c>
      <c r="M3" s="93" t="n"/>
      <c r="N3" s="99" t="n">
        <v>4</v>
      </c>
      <c r="O3" s="93" t="n"/>
      <c r="P3" s="93" t="n"/>
      <c r="Q3" s="93" t="n"/>
      <c r="R3" s="103" t="n">
        <v>6</v>
      </c>
      <c r="S3" s="101">
        <f>IFERROR(ROUND(AVERAGE(C3:R3),1),"")</f>
        <v/>
      </c>
    </row>
    <row r="4" ht="15" customHeight="1" s="57">
      <c r="A4" s="93" t="n">
        <v>2</v>
      </c>
      <c r="B4" s="94" t="inlineStr">
        <is>
          <t>ДОЙНЕКО СОФИЯ</t>
        </is>
      </c>
      <c r="C4" s="98" t="n">
        <v>9</v>
      </c>
      <c r="D4" s="93" t="n"/>
      <c r="E4" s="98" t="n">
        <v>9</v>
      </c>
      <c r="F4" s="98" t="n">
        <v>9</v>
      </c>
      <c r="G4" s="98" t="n">
        <v>8</v>
      </c>
      <c r="H4" s="98" t="n">
        <v>9</v>
      </c>
      <c r="I4" s="93" t="n"/>
      <c r="J4" s="98" t="n">
        <v>10</v>
      </c>
      <c r="K4" s="98" t="n">
        <v>9</v>
      </c>
      <c r="L4" s="98" t="n">
        <v>10</v>
      </c>
      <c r="M4" s="98" t="n">
        <v>9</v>
      </c>
      <c r="N4" s="98" t="n">
        <v>7</v>
      </c>
      <c r="O4" s="98" t="n">
        <v>8</v>
      </c>
      <c r="P4" s="93" t="n"/>
      <c r="Q4" s="100" t="n">
        <v>8</v>
      </c>
      <c r="R4" s="102" t="n"/>
      <c r="S4" s="101">
        <f>IFERROR(ROUND(AVERAGE(C4:R4),1),"")</f>
        <v/>
      </c>
    </row>
    <row r="5" ht="15" customHeight="1" s="57">
      <c r="A5" s="93" t="n">
        <v>3</v>
      </c>
      <c r="B5" s="94" t="inlineStr">
        <is>
          <t>ЖЕЛНИНА ВЕРА</t>
        </is>
      </c>
      <c r="C5" s="93" t="n"/>
      <c r="D5" s="98" t="n">
        <v>7</v>
      </c>
      <c r="E5" s="98" t="n">
        <v>9</v>
      </c>
      <c r="F5" s="93" t="n"/>
      <c r="G5" s="98" t="n">
        <v>8</v>
      </c>
      <c r="H5" s="97" t="n">
        <v>6</v>
      </c>
      <c r="I5" s="98" t="n">
        <v>9</v>
      </c>
      <c r="J5" s="98" t="n">
        <v>7</v>
      </c>
      <c r="K5" s="98" t="n">
        <v>9</v>
      </c>
      <c r="L5" s="98" t="n">
        <v>7</v>
      </c>
      <c r="M5" s="93" t="n"/>
      <c r="N5" s="97" t="n">
        <v>6</v>
      </c>
      <c r="O5" s="93" t="n"/>
      <c r="P5" s="93" t="n"/>
      <c r="Q5" s="100" t="n">
        <v>8</v>
      </c>
      <c r="R5" s="102" t="n"/>
      <c r="S5" s="101">
        <f>IFERROR(ROUND(AVERAGE(C5:R5),1),"")</f>
        <v/>
      </c>
    </row>
    <row r="6" ht="15" customHeight="1" s="57">
      <c r="A6" s="93" t="n">
        <v>4</v>
      </c>
      <c r="B6" s="94" t="inlineStr">
        <is>
          <t>ПОТАНИН ВАЛЕРИЙ</t>
        </is>
      </c>
      <c r="C6" s="97" t="n">
        <v>5</v>
      </c>
      <c r="D6" s="93" t="n"/>
      <c r="E6" s="97" t="n">
        <v>6</v>
      </c>
      <c r="F6" s="97" t="n">
        <v>5</v>
      </c>
      <c r="G6" s="93" t="n"/>
      <c r="H6" s="97" t="n">
        <v>5</v>
      </c>
      <c r="I6" s="97" t="n">
        <v>5</v>
      </c>
      <c r="J6" s="97" t="n">
        <v>6</v>
      </c>
      <c r="K6" s="93" t="n"/>
      <c r="L6" s="97" t="n">
        <v>5</v>
      </c>
      <c r="M6" s="97" t="n">
        <v>6</v>
      </c>
      <c r="N6" s="99" t="n">
        <v>4</v>
      </c>
      <c r="O6" s="97" t="n">
        <v>6</v>
      </c>
      <c r="P6" s="93" t="n"/>
      <c r="Q6" s="103" t="n">
        <v>5</v>
      </c>
      <c r="R6" s="103" t="n">
        <v>6</v>
      </c>
      <c r="S6" s="101">
        <f>IFERROR(ROUND(AVERAGE(C6:R6),1),"")</f>
        <v/>
      </c>
    </row>
    <row r="7" ht="15" customHeight="1" s="57">
      <c r="A7" s="93" t="n">
        <v>5</v>
      </c>
      <c r="B7" s="94" t="inlineStr">
        <is>
          <t>РОМАНОВА ЕВА</t>
        </is>
      </c>
      <c r="C7" s="93" t="n"/>
      <c r="D7" s="98" t="n">
        <v>8</v>
      </c>
      <c r="E7" s="98" t="n">
        <v>8</v>
      </c>
      <c r="F7" s="97" t="n">
        <v>6</v>
      </c>
      <c r="G7" s="98" t="n">
        <v>8</v>
      </c>
      <c r="H7" s="98" t="n">
        <v>9</v>
      </c>
      <c r="I7" s="98" t="n">
        <v>7</v>
      </c>
      <c r="J7" s="97" t="n">
        <v>6</v>
      </c>
      <c r="K7" s="97" t="n">
        <v>6</v>
      </c>
      <c r="L7" s="98" t="n">
        <v>7</v>
      </c>
      <c r="M7" s="93" t="n"/>
      <c r="N7" s="97" t="n">
        <v>5</v>
      </c>
      <c r="O7" s="93" t="n"/>
      <c r="P7" s="93" t="n"/>
      <c r="Q7" s="100" t="n">
        <v>8</v>
      </c>
      <c r="R7" s="100" t="n"/>
      <c r="S7" s="101">
        <f>IFERROR(ROUND(AVERAGE(C7:R7),1),"")</f>
        <v/>
      </c>
    </row>
    <row r="8" ht="15" customHeight="1" s="57">
      <c r="A8" s="93" t="n">
        <v>6</v>
      </c>
      <c r="B8" s="94" t="inlineStr">
        <is>
          <t>САҒИТ ӘМІР</t>
        </is>
      </c>
      <c r="C8" s="98" t="n">
        <v>8</v>
      </c>
      <c r="D8" s="98" t="n">
        <v>9</v>
      </c>
      <c r="E8" s="98" t="n">
        <v>10</v>
      </c>
      <c r="F8" s="98" t="n">
        <v>9</v>
      </c>
      <c r="G8" s="93" t="n"/>
      <c r="H8" s="98" t="n">
        <v>8</v>
      </c>
      <c r="I8" s="98" t="n">
        <v>9</v>
      </c>
      <c r="J8" s="98" t="n">
        <v>9</v>
      </c>
      <c r="K8" s="98" t="n">
        <v>10</v>
      </c>
      <c r="L8" s="98" t="n">
        <v>8</v>
      </c>
      <c r="M8" s="93" t="n"/>
      <c r="N8" s="98" t="n">
        <v>8</v>
      </c>
      <c r="O8" s="93" t="n"/>
      <c r="P8" s="93" t="n"/>
      <c r="Q8" s="93" t="n"/>
      <c r="R8" s="100" t="n">
        <v>8</v>
      </c>
      <c r="S8" s="101">
        <f>IFERROR(ROUND(AVERAGE(C8:R8),1),"")</f>
        <v/>
      </c>
    </row>
    <row r="9" ht="15" customHeight="1" s="57">
      <c r="A9" s="93" t="n">
        <v>7</v>
      </c>
      <c r="B9" s="94" t="inlineStr">
        <is>
          <t>ТОРЧИНСКИЙ МАТВЕЙ</t>
        </is>
      </c>
      <c r="C9" s="93" t="n"/>
      <c r="D9" s="98" t="n">
        <v>7</v>
      </c>
      <c r="E9" s="93" t="n"/>
      <c r="F9" s="98" t="n">
        <v>7</v>
      </c>
      <c r="G9" s="98" t="n">
        <v>8</v>
      </c>
      <c r="H9" s="98" t="n">
        <v>7</v>
      </c>
      <c r="I9" s="98" t="n">
        <v>8</v>
      </c>
      <c r="J9" s="98" t="n">
        <v>7</v>
      </c>
      <c r="K9" s="98" t="n">
        <v>7</v>
      </c>
      <c r="L9" s="97" t="n">
        <v>6</v>
      </c>
      <c r="M9" s="98" t="n">
        <v>9</v>
      </c>
      <c r="N9" s="97" t="n">
        <v>5</v>
      </c>
      <c r="O9" s="93" t="n"/>
      <c r="P9" s="93" t="n"/>
      <c r="Q9" s="100" t="n">
        <v>8</v>
      </c>
      <c r="R9" s="100" t="n">
        <v>8</v>
      </c>
      <c r="S9" s="101">
        <f>IFERROR(ROUND(AVERAGE(C9:R9),1),"")</f>
        <v/>
      </c>
    </row>
    <row r="10" ht="15" customHeight="1" s="57">
      <c r="A10" s="93" t="n">
        <v>8</v>
      </c>
      <c r="B10" s="94" t="inlineStr">
        <is>
          <t>ФОМИН МАКСИМ</t>
        </is>
      </c>
      <c r="C10" s="98" t="n">
        <v>10</v>
      </c>
      <c r="D10" s="98" t="n">
        <v>9</v>
      </c>
      <c r="E10" s="98" t="n">
        <v>9</v>
      </c>
      <c r="F10" s="93" t="n"/>
      <c r="G10" s="98" t="n">
        <v>9</v>
      </c>
      <c r="H10" s="98" t="n">
        <v>9</v>
      </c>
      <c r="I10" s="93" t="n"/>
      <c r="J10" s="98" t="n">
        <v>9</v>
      </c>
      <c r="K10" s="98" t="n">
        <v>9</v>
      </c>
      <c r="L10" s="98" t="n">
        <v>9</v>
      </c>
      <c r="M10" s="93" t="n"/>
      <c r="N10" s="98" t="n">
        <v>8</v>
      </c>
      <c r="O10" s="98" t="n">
        <v>9</v>
      </c>
      <c r="P10" s="93" t="n"/>
      <c r="Q10" s="100" t="n">
        <v>8</v>
      </c>
      <c r="R10" s="102" t="n"/>
      <c r="S10" s="101">
        <f>IFERROR(ROUND(AVERAGE(C10:R10),1),"")</f>
        <v/>
      </c>
    </row>
    <row r="11" ht="15" customHeight="1" s="57">
      <c r="A11" s="93" t="n">
        <v>9</v>
      </c>
      <c r="B11" s="94" t="inlineStr">
        <is>
          <t>ЧАЙКА ТАИСИЯ</t>
        </is>
      </c>
      <c r="C11" s="98" t="n">
        <v>10</v>
      </c>
      <c r="D11" s="98" t="n">
        <v>10</v>
      </c>
      <c r="E11" s="98" t="n">
        <v>10</v>
      </c>
      <c r="F11" s="98" t="n">
        <v>10</v>
      </c>
      <c r="G11" s="93" t="n"/>
      <c r="H11" s="98" t="n">
        <v>10</v>
      </c>
      <c r="I11" s="98" t="n">
        <v>10</v>
      </c>
      <c r="J11" s="98" t="n">
        <v>10</v>
      </c>
      <c r="K11" s="98" t="n">
        <v>10</v>
      </c>
      <c r="L11" s="98" t="n">
        <v>10</v>
      </c>
      <c r="M11" s="98" t="n">
        <v>10</v>
      </c>
      <c r="N11" s="98" t="n">
        <v>10</v>
      </c>
      <c r="O11" s="98" t="n">
        <v>10</v>
      </c>
      <c r="P11" s="93" t="n"/>
      <c r="Q11" s="98" t="n">
        <v>10</v>
      </c>
      <c r="R11" s="100" t="n">
        <v>9</v>
      </c>
      <c r="S11" s="101">
        <f>IFERROR(ROUND(AVERAGE(C11:R11),1),"")</f>
        <v/>
      </c>
    </row>
    <row r="12" ht="15" customHeight="1" s="57">
      <c r="A12" s="93" t="n">
        <v>10</v>
      </c>
      <c r="B12" s="94" t="inlineStr">
        <is>
          <t>ШАРБАКПАЕВА АЙДАРИЯ</t>
        </is>
      </c>
      <c r="C12" s="98" t="n">
        <v>7</v>
      </c>
      <c r="D12" s="98" t="n">
        <v>8</v>
      </c>
      <c r="E12" s="98" t="n">
        <v>8</v>
      </c>
      <c r="F12" s="97" t="n">
        <v>6</v>
      </c>
      <c r="G12" s="98" t="n">
        <v>8</v>
      </c>
      <c r="H12" s="98" t="n">
        <v>9</v>
      </c>
      <c r="I12" s="98" t="n">
        <v>7</v>
      </c>
      <c r="J12" s="93" t="n"/>
      <c r="K12" s="97" t="n">
        <v>6</v>
      </c>
      <c r="L12" s="93" t="n"/>
      <c r="M12" s="93" t="n"/>
      <c r="N12" s="98" t="n">
        <v>8</v>
      </c>
      <c r="O12" s="93" t="n"/>
      <c r="P12" s="93" t="n"/>
      <c r="Q12" s="100" t="n">
        <v>8</v>
      </c>
      <c r="R12" s="100" t="n">
        <v>8</v>
      </c>
      <c r="S12" s="101">
        <f>IFERROR(ROUND(AVERAGE(C12:R12),1),"")</f>
        <v/>
      </c>
    </row>
    <row r="13" ht="15" customHeight="1" s="57">
      <c r="A13" s="93" t="n">
        <v>11</v>
      </c>
      <c r="B13" s="94" t="inlineStr">
        <is>
          <t>ШАРИПОВА ВЕРА</t>
        </is>
      </c>
      <c r="C13" s="97" t="n">
        <v>6</v>
      </c>
      <c r="D13" s="98" t="n">
        <v>8</v>
      </c>
      <c r="E13" s="93" t="n"/>
      <c r="F13" s="97" t="n">
        <v>6</v>
      </c>
      <c r="G13" s="97" t="n">
        <v>6</v>
      </c>
      <c r="H13" s="98" t="n">
        <v>7</v>
      </c>
      <c r="I13" s="93" t="n"/>
      <c r="J13" s="98" t="n">
        <v>10</v>
      </c>
      <c r="K13" s="98" t="n">
        <v>8</v>
      </c>
      <c r="L13" s="97" t="n">
        <v>6</v>
      </c>
      <c r="M13" s="93" t="n"/>
      <c r="N13" s="97" t="n">
        <v>6</v>
      </c>
      <c r="O13" s="93" t="n"/>
      <c r="P13" s="93" t="n"/>
      <c r="Q13" s="103" t="n">
        <v>6</v>
      </c>
      <c r="R13" s="103" t="n">
        <v>6</v>
      </c>
      <c r="S13" s="101">
        <f>IFERROR(ROUND(AVERAGE(C13:R13),1),"")</f>
        <v/>
      </c>
    </row>
    <row r="14" ht="15" customHeight="1" s="57">
      <c r="A14" s="93" t="n">
        <v>12</v>
      </c>
      <c r="B14" s="94" t="inlineStr">
        <is>
          <t>ШИШ АРТЁМ</t>
        </is>
      </c>
      <c r="C14" s="93" t="n"/>
      <c r="D14" s="97" t="n">
        <v>6</v>
      </c>
      <c r="E14" s="97" t="n">
        <v>6</v>
      </c>
      <c r="F14" s="98" t="n">
        <v>7</v>
      </c>
      <c r="G14" s="93" t="n"/>
      <c r="H14" s="97" t="n">
        <v>6</v>
      </c>
      <c r="I14" s="98" t="n">
        <v>8</v>
      </c>
      <c r="J14" s="93" t="n"/>
      <c r="K14" s="98" t="n">
        <v>8</v>
      </c>
      <c r="L14" s="98" t="n">
        <v>7</v>
      </c>
      <c r="M14" s="93" t="n"/>
      <c r="N14" s="97" t="n">
        <v>6</v>
      </c>
      <c r="O14" s="93" t="n"/>
      <c r="P14" s="93" t="n"/>
      <c r="Q14" s="103" t="n">
        <v>6</v>
      </c>
      <c r="R14" s="103" t="n">
        <v>6</v>
      </c>
      <c r="S14" s="101">
        <f>IFERROR(ROUND(AVERAGE(C14:R14),1),"")</f>
        <v/>
      </c>
    </row>
    <row r="15" ht="15" customHeight="1" s="57">
      <c r="A15" s="93" t="n">
        <v>13</v>
      </c>
      <c r="B15" s="94" t="inlineStr">
        <is>
          <t>ЩЕГЛОВ КИРИЛЛ</t>
        </is>
      </c>
      <c r="C15" s="97" t="n">
        <v>6</v>
      </c>
      <c r="D15" s="93" t="n"/>
      <c r="E15" s="97" t="n">
        <v>6</v>
      </c>
      <c r="F15" s="98" t="n">
        <v>8</v>
      </c>
      <c r="G15" s="97" t="n">
        <v>6</v>
      </c>
      <c r="H15" s="97" t="n">
        <v>6</v>
      </c>
      <c r="I15" s="97" t="n">
        <v>6</v>
      </c>
      <c r="J15" s="93" t="n"/>
      <c r="K15" s="97" t="n">
        <v>6</v>
      </c>
      <c r="L15" s="97" t="n">
        <v>6</v>
      </c>
      <c r="M15" s="98" t="n">
        <v>7</v>
      </c>
      <c r="N15" s="97" t="n">
        <v>5</v>
      </c>
      <c r="O15" s="97" t="n">
        <v>6</v>
      </c>
      <c r="P15" s="93" t="n"/>
      <c r="Q15" s="93" t="n"/>
      <c r="R15" s="103" t="n">
        <v>5</v>
      </c>
      <c r="S15" s="101">
        <f>IFERROR(ROUND(AVERAGE(C15:R15),1),"")</f>
        <v/>
      </c>
    </row>
  </sheetData>
  <mergeCells count="1">
    <mergeCell ref="A1:S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Z22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2" ySplit="2" topLeftCell="H3" activePane="bottomRight" state="frozen"/>
      <selection pane="topLeft" activeCell="A1" activeCellId="0" sqref="A1"/>
      <selection pane="topRight" activeCell="H1" activeCellId="0" sqref="H1"/>
      <selection pane="bottomLeft" activeCell="A3" activeCellId="0" sqref="A3"/>
      <selection pane="bottomRight" activeCell="W23" activeCellId="0" sqref="W23"/>
    </sheetView>
  </sheetViews>
  <sheetFormatPr baseColWidth="8" defaultColWidth="8.6796875" defaultRowHeight="15" customHeight="0" zeroHeight="0" outlineLevelRow="0"/>
  <cols>
    <col width="5" customWidth="1" style="56" min="1" max="1"/>
    <col width="28" customWidth="1" style="56" min="2" max="2"/>
    <col width="9" customWidth="1" style="56" min="3" max="24"/>
    <col width="10" customWidth="1" style="56" min="26" max="26"/>
  </cols>
  <sheetData>
    <row r="1" ht="17.25" customHeight="1" s="57">
      <c r="A1" s="91" t="inlineStr">
        <is>
          <t>9Б Алгебра — оценки (на 23.10.2026)</t>
        </is>
      </c>
    </row>
    <row r="2" ht="31.5" customHeight="1" s="57">
      <c r="A2" s="92" t="inlineStr">
        <is>
          <t>№</t>
        </is>
      </c>
      <c r="B2" s="92" t="inlineStr">
        <is>
          <t>ФИО</t>
        </is>
      </c>
      <c r="C2" s="92" t="inlineStr">
        <is>
          <t>02.09.26</t>
        </is>
      </c>
      <c r="D2" s="92" t="inlineStr">
        <is>
          <t>04.09.26</t>
        </is>
      </c>
      <c r="E2" s="92" t="inlineStr">
        <is>
          <t>07.09.26</t>
        </is>
      </c>
      <c r="F2" s="92" t="inlineStr">
        <is>
          <t>09.09.26</t>
        </is>
      </c>
      <c r="G2" s="92" t="inlineStr">
        <is>
          <t>11.09.26</t>
        </is>
      </c>
      <c r="H2" s="92" t="inlineStr">
        <is>
          <t>14.09.26</t>
        </is>
      </c>
      <c r="I2" s="92" t="inlineStr">
        <is>
          <t>16.09.26</t>
        </is>
      </c>
      <c r="J2" s="92" t="inlineStr">
        <is>
          <t>18.09.26</t>
        </is>
      </c>
      <c r="K2" s="92" t="inlineStr">
        <is>
          <t>21.09.26</t>
        </is>
      </c>
      <c r="L2" s="95" t="inlineStr">
        <is>
          <t>23.09.26
СОР</t>
        </is>
      </c>
      <c r="M2" s="92" t="inlineStr">
        <is>
          <t>25.09.26</t>
        </is>
      </c>
      <c r="N2" s="92" t="inlineStr">
        <is>
          <t>28.09.26</t>
        </is>
      </c>
      <c r="O2" s="92" t="inlineStr">
        <is>
          <t>30.09.26</t>
        </is>
      </c>
      <c r="P2" s="92" t="inlineStr">
        <is>
          <t>02.10.26</t>
        </is>
      </c>
      <c r="Q2" s="92" t="inlineStr">
        <is>
          <t>05.10.26</t>
        </is>
      </c>
      <c r="R2" s="92" t="inlineStr">
        <is>
          <t>07.10.26</t>
        </is>
      </c>
      <c r="S2" s="92" t="inlineStr">
        <is>
          <t>09.10.26</t>
        </is>
      </c>
      <c r="T2" s="92" t="inlineStr">
        <is>
          <t>12.10.26</t>
        </is>
      </c>
      <c r="U2" s="95" t="inlineStr">
        <is>
          <t>14.10.26
СОР</t>
        </is>
      </c>
      <c r="V2" s="96" t="inlineStr">
        <is>
          <t>16.10.26
СОЧ</t>
        </is>
      </c>
      <c r="W2" s="92" t="inlineStr">
        <is>
          <t>19.10.26</t>
        </is>
      </c>
      <c r="X2" s="92" t="inlineStr">
        <is>
          <t>21.10.26</t>
        </is>
      </c>
      <c r="Y2" s="92" t="inlineStr">
        <is>
          <t>23.10.26</t>
        </is>
      </c>
      <c r="Z2" s="92" t="inlineStr">
        <is>
          <t>Средний</t>
        </is>
      </c>
    </row>
    <row r="3" ht="15" customHeight="1" s="57">
      <c r="A3" s="93" t="n">
        <v>1</v>
      </c>
      <c r="B3" s="94" t="inlineStr">
        <is>
          <t>АКАУОВ АНСАР</t>
        </is>
      </c>
      <c r="C3" s="98" t="n">
        <v>10</v>
      </c>
      <c r="D3" s="98" t="n">
        <v>9</v>
      </c>
      <c r="E3" s="98" t="n">
        <v>10</v>
      </c>
      <c r="F3" s="98" t="n">
        <v>9</v>
      </c>
      <c r="G3" s="98" t="n">
        <v>10</v>
      </c>
      <c r="H3" s="98" t="n">
        <v>10</v>
      </c>
      <c r="I3" s="93" t="n"/>
      <c r="J3" s="98" t="n">
        <v>10</v>
      </c>
      <c r="K3" s="98" t="n">
        <v>9</v>
      </c>
      <c r="L3" s="98" t="n">
        <v>9</v>
      </c>
      <c r="M3" s="98" t="n">
        <v>10</v>
      </c>
      <c r="N3" s="98" t="n">
        <v>9</v>
      </c>
      <c r="O3" s="98" t="n">
        <v>10</v>
      </c>
      <c r="P3" s="98" t="n">
        <v>10</v>
      </c>
      <c r="Q3" s="97" t="n">
        <v>6</v>
      </c>
      <c r="R3" s="98" t="n">
        <v>9</v>
      </c>
      <c r="S3" s="98" t="n">
        <v>10</v>
      </c>
      <c r="T3" s="98" t="n">
        <v>9</v>
      </c>
      <c r="U3" s="100" t="n">
        <v>9</v>
      </c>
      <c r="V3" s="93" t="n"/>
      <c r="W3" s="100" t="n">
        <v>10</v>
      </c>
      <c r="X3" s="102" t="n"/>
      <c r="Y3" s="102" t="n"/>
      <c r="Z3" s="101">
        <f>IFERROR(ROUND(AVERAGE(C3:Y3),1),"")</f>
        <v/>
      </c>
    </row>
    <row r="4" ht="15" customHeight="1" s="57">
      <c r="A4" s="93" t="n">
        <v>2</v>
      </c>
      <c r="B4" s="94" t="inlineStr">
        <is>
          <t>БАЙЛЬДИНОВ ИСЛАМ</t>
        </is>
      </c>
      <c r="C4" s="98" t="n">
        <v>10</v>
      </c>
      <c r="D4" s="98" t="n">
        <v>10</v>
      </c>
      <c r="E4" s="98" t="n">
        <v>10</v>
      </c>
      <c r="F4" s="98" t="n">
        <v>10</v>
      </c>
      <c r="G4" s="98" t="n">
        <v>10</v>
      </c>
      <c r="H4" s="98" t="n">
        <v>10</v>
      </c>
      <c r="I4" s="98" t="n">
        <v>10</v>
      </c>
      <c r="J4" s="98" t="n">
        <v>10</v>
      </c>
      <c r="K4" s="98" t="n">
        <v>10</v>
      </c>
      <c r="L4" s="93" t="n"/>
      <c r="M4" s="98" t="n">
        <v>10</v>
      </c>
      <c r="N4" s="98" t="n">
        <v>10</v>
      </c>
      <c r="O4" s="98" t="n">
        <v>10</v>
      </c>
      <c r="P4" s="98" t="n">
        <v>10</v>
      </c>
      <c r="Q4" s="97" t="n">
        <v>6</v>
      </c>
      <c r="R4" s="98" t="n">
        <v>10</v>
      </c>
      <c r="S4" s="98" t="n">
        <v>10</v>
      </c>
      <c r="T4" s="98" t="n">
        <v>10</v>
      </c>
      <c r="U4" s="100" t="n">
        <v>8</v>
      </c>
      <c r="V4" s="93" t="n"/>
      <c r="W4" s="93" t="n"/>
      <c r="X4" s="93" t="n"/>
      <c r="Y4" s="100" t="n">
        <v>8</v>
      </c>
      <c r="Z4" s="101">
        <f>IFERROR(ROUND(AVERAGE(C4:Y4),1),"")</f>
        <v/>
      </c>
    </row>
    <row r="5" ht="15" customHeight="1" s="57">
      <c r="A5" s="93" t="n">
        <v>3</v>
      </c>
      <c r="B5" s="94" t="inlineStr">
        <is>
          <t>БАТУХТИНА ВИКТОРИЯ</t>
        </is>
      </c>
      <c r="C5" s="93" t="n"/>
      <c r="D5" s="97" t="n">
        <v>6</v>
      </c>
      <c r="E5" s="98" t="n">
        <v>8</v>
      </c>
      <c r="F5" s="93" t="n"/>
      <c r="G5" s="97" t="n">
        <v>6</v>
      </c>
      <c r="H5" s="98" t="n">
        <v>8</v>
      </c>
      <c r="I5" s="98" t="n">
        <v>8</v>
      </c>
      <c r="J5" s="97" t="n">
        <v>6</v>
      </c>
      <c r="K5" s="97" t="n">
        <v>6</v>
      </c>
      <c r="L5" s="93" t="n"/>
      <c r="M5" s="93" t="n"/>
      <c r="N5" s="98" t="n">
        <v>8</v>
      </c>
      <c r="O5" s="97" t="n">
        <v>6</v>
      </c>
      <c r="P5" s="93" t="n"/>
      <c r="Q5" s="99" t="n">
        <v>4</v>
      </c>
      <c r="R5" s="98" t="n">
        <v>8</v>
      </c>
      <c r="S5" s="93" t="n"/>
      <c r="T5" s="98" t="n">
        <v>8</v>
      </c>
      <c r="U5" s="93" t="n"/>
      <c r="V5" s="93" t="n"/>
      <c r="W5" s="93" t="n"/>
      <c r="X5" s="100" t="n">
        <v>8</v>
      </c>
      <c r="Y5" s="100" t="n">
        <v>8</v>
      </c>
      <c r="Z5" s="101">
        <f>IFERROR(ROUND(AVERAGE(C5:Y5),1),"")</f>
        <v/>
      </c>
    </row>
    <row r="6" ht="15" customHeight="1" s="57">
      <c r="A6" s="93" t="n">
        <v>4</v>
      </c>
      <c r="B6" s="94" t="inlineStr">
        <is>
          <t>ГАЗИЕВ ТИМУР</t>
        </is>
      </c>
      <c r="C6" s="98" t="n">
        <v>8</v>
      </c>
      <c r="D6" s="98" t="n">
        <v>8</v>
      </c>
      <c r="E6" s="98" t="n">
        <v>8</v>
      </c>
      <c r="F6" s="98" t="n">
        <v>8</v>
      </c>
      <c r="G6" s="98" t="n">
        <v>9</v>
      </c>
      <c r="H6" s="98" t="n">
        <v>8</v>
      </c>
      <c r="I6" s="93" t="n"/>
      <c r="J6" s="98" t="n">
        <v>8</v>
      </c>
      <c r="K6" s="98" t="n">
        <v>9</v>
      </c>
      <c r="L6" s="98" t="n">
        <v>8</v>
      </c>
      <c r="M6" s="93" t="n"/>
      <c r="N6" s="98" t="n">
        <v>8</v>
      </c>
      <c r="O6" s="98" t="n">
        <v>9</v>
      </c>
      <c r="P6" s="98" t="n">
        <v>9</v>
      </c>
      <c r="Q6" s="93" t="n"/>
      <c r="R6" s="93" t="n"/>
      <c r="S6" s="98" t="n">
        <v>9</v>
      </c>
      <c r="T6" s="93" t="n"/>
      <c r="U6" s="100" t="n">
        <v>8</v>
      </c>
      <c r="V6" s="93" t="n"/>
      <c r="W6" s="100" t="n">
        <v>8</v>
      </c>
      <c r="X6" s="100" t="n">
        <v>8</v>
      </c>
      <c r="Y6" s="102" t="n"/>
      <c r="Z6" s="101">
        <f>IFERROR(ROUND(AVERAGE(C6:Y6),1),"")</f>
        <v/>
      </c>
    </row>
    <row r="7" ht="15" customHeight="1" s="57">
      <c r="A7" s="93" t="n">
        <v>5</v>
      </c>
      <c r="B7" s="94" t="inlineStr">
        <is>
          <t>ГАНТИМУРОВА ЛЮБОВЬ</t>
        </is>
      </c>
      <c r="C7" s="97" t="n">
        <v>6</v>
      </c>
      <c r="D7" s="97" t="n">
        <v>6</v>
      </c>
      <c r="E7" s="98" t="n">
        <v>8</v>
      </c>
      <c r="F7" s="99" t="n">
        <v>4</v>
      </c>
      <c r="G7" s="97" t="n">
        <v>6</v>
      </c>
      <c r="H7" s="93" t="n"/>
      <c r="I7" s="98" t="n">
        <v>8</v>
      </c>
      <c r="J7" s="98" t="n">
        <v>8</v>
      </c>
      <c r="K7" s="98" t="n">
        <v>8</v>
      </c>
      <c r="L7" s="93" t="n"/>
      <c r="M7" s="98" t="n">
        <v>8</v>
      </c>
      <c r="N7" s="98" t="n">
        <v>7</v>
      </c>
      <c r="O7" s="98" t="n">
        <v>7</v>
      </c>
      <c r="P7" s="98" t="n">
        <v>10</v>
      </c>
      <c r="Q7" s="97" t="n">
        <v>5</v>
      </c>
      <c r="R7" s="98" t="n">
        <v>8</v>
      </c>
      <c r="S7" s="93" t="n"/>
      <c r="T7" s="93" t="n"/>
      <c r="U7" s="100" t="n">
        <v>8</v>
      </c>
      <c r="V7" s="93" t="n"/>
      <c r="W7" s="100" t="n">
        <v>8</v>
      </c>
      <c r="X7" s="102" t="n"/>
      <c r="Y7" s="100" t="n">
        <v>8</v>
      </c>
      <c r="Z7" s="101">
        <f>IFERROR(ROUND(AVERAGE(C7:Y7),1),"")</f>
        <v/>
      </c>
    </row>
    <row r="8" ht="15" customHeight="1" s="57">
      <c r="A8" s="93" t="n">
        <v>6</v>
      </c>
      <c r="B8" s="94" t="inlineStr">
        <is>
          <t>ДОЙНЕКО ЭРНЕСТ</t>
        </is>
      </c>
      <c r="C8" s="93" t="n"/>
      <c r="D8" s="98" t="n">
        <v>8</v>
      </c>
      <c r="E8" s="97" t="n">
        <v>6</v>
      </c>
      <c r="F8" s="98" t="n">
        <v>8</v>
      </c>
      <c r="G8" s="98" t="n">
        <v>8</v>
      </c>
      <c r="H8" s="97" t="n">
        <v>6</v>
      </c>
      <c r="I8" s="98" t="n">
        <v>8</v>
      </c>
      <c r="J8" s="98" t="n">
        <v>7</v>
      </c>
      <c r="K8" s="93" t="n"/>
      <c r="L8" s="93" t="n"/>
      <c r="M8" s="98" t="n">
        <v>7</v>
      </c>
      <c r="N8" s="98" t="n">
        <v>8</v>
      </c>
      <c r="O8" s="98" t="n">
        <v>9</v>
      </c>
      <c r="P8" s="98" t="n">
        <v>9</v>
      </c>
      <c r="Q8" s="98" t="n">
        <v>8</v>
      </c>
      <c r="R8" s="98" t="n">
        <v>8</v>
      </c>
      <c r="S8" s="93" t="n"/>
      <c r="T8" s="93" t="n"/>
      <c r="U8" s="100" t="n">
        <v>8</v>
      </c>
      <c r="V8" s="93" t="n"/>
      <c r="W8" s="93" t="n"/>
      <c r="X8" s="100" t="n">
        <v>8</v>
      </c>
      <c r="Y8" s="93" t="n"/>
      <c r="Z8" s="101">
        <f>IFERROR(ROUND(AVERAGE(C8:Y8),1),"")</f>
        <v/>
      </c>
    </row>
    <row r="9" ht="15" customHeight="1" s="57">
      <c r="A9" s="93" t="n">
        <v>7</v>
      </c>
      <c r="B9" s="94" t="inlineStr">
        <is>
          <t>КАЙРУЛЛИН АРСЕНТИЙ</t>
        </is>
      </c>
      <c r="C9" s="97" t="n">
        <v>6</v>
      </c>
      <c r="D9" s="93" t="n"/>
      <c r="E9" s="97" t="n">
        <v>6</v>
      </c>
      <c r="F9" s="97" t="n">
        <v>6</v>
      </c>
      <c r="G9" s="97" t="n">
        <v>6</v>
      </c>
      <c r="H9" s="98" t="n">
        <v>8</v>
      </c>
      <c r="I9" s="97" t="n">
        <v>6</v>
      </c>
      <c r="J9" s="98" t="n">
        <v>8</v>
      </c>
      <c r="K9" s="97" t="n">
        <v>6</v>
      </c>
      <c r="L9" s="93" t="n"/>
      <c r="M9" s="97" t="n">
        <v>6</v>
      </c>
      <c r="N9" s="97" t="n">
        <v>6</v>
      </c>
      <c r="O9" s="97" t="n">
        <v>6</v>
      </c>
      <c r="P9" s="97" t="n">
        <v>6</v>
      </c>
      <c r="Q9" s="99" t="n">
        <v>4</v>
      </c>
      <c r="R9" s="97" t="n">
        <v>6</v>
      </c>
      <c r="S9" s="98" t="n">
        <v>8</v>
      </c>
      <c r="T9" s="98" t="n">
        <v>9</v>
      </c>
      <c r="U9" s="93" t="n"/>
      <c r="V9" s="93" t="n"/>
      <c r="W9" s="103" t="n">
        <v>6</v>
      </c>
      <c r="X9" s="103" t="n">
        <v>5</v>
      </c>
      <c r="Y9" s="103" t="n">
        <v>6</v>
      </c>
      <c r="Z9" s="101">
        <f>IFERROR(ROUND(AVERAGE(C9:Y9),1),"")</f>
        <v/>
      </c>
    </row>
    <row r="10" ht="15" customHeight="1" s="57">
      <c r="A10" s="93" t="n">
        <v>8</v>
      </c>
      <c r="B10" s="94" t="inlineStr">
        <is>
          <t>КОЗЛОВ ВАДИМ</t>
        </is>
      </c>
      <c r="C10" s="98" t="n">
        <v>8</v>
      </c>
      <c r="D10" s="98" t="n">
        <v>8</v>
      </c>
      <c r="E10" s="98" t="n">
        <v>8</v>
      </c>
      <c r="F10" s="97" t="n">
        <v>5</v>
      </c>
      <c r="G10" s="93" t="n"/>
      <c r="H10" s="98" t="n">
        <v>8</v>
      </c>
      <c r="I10" s="98" t="n">
        <v>9</v>
      </c>
      <c r="J10" s="98" t="n">
        <v>8</v>
      </c>
      <c r="K10" s="98" t="n">
        <v>9</v>
      </c>
      <c r="L10" s="93" t="n"/>
      <c r="M10" s="93" t="n"/>
      <c r="N10" s="98" t="n">
        <v>8</v>
      </c>
      <c r="O10" s="98" t="n">
        <v>8</v>
      </c>
      <c r="P10" s="98" t="n">
        <v>9</v>
      </c>
      <c r="Q10" s="98" t="n">
        <v>7</v>
      </c>
      <c r="R10" s="98" t="n">
        <v>8</v>
      </c>
      <c r="S10" s="98" t="n">
        <v>8</v>
      </c>
      <c r="T10" s="97" t="n">
        <v>6</v>
      </c>
      <c r="U10" s="103" t="n">
        <v>6</v>
      </c>
      <c r="V10" s="93" t="n"/>
      <c r="W10" s="93" t="n"/>
      <c r="X10" s="103" t="n">
        <v>5</v>
      </c>
      <c r="Y10" s="103" t="n">
        <v>6</v>
      </c>
      <c r="Z10" s="101">
        <f>IFERROR(ROUND(AVERAGE(C10:Y10),1),"")</f>
        <v/>
      </c>
    </row>
    <row r="11" ht="15" customHeight="1" s="57">
      <c r="A11" s="93" t="n">
        <v>9</v>
      </c>
      <c r="B11" s="94" t="inlineStr">
        <is>
          <t>КОЛМОГОРОВА АНАСТАСИЯ</t>
        </is>
      </c>
      <c r="C11" s="93" t="n"/>
      <c r="D11" s="98" t="n">
        <v>8</v>
      </c>
      <c r="E11" s="98" t="n">
        <v>8</v>
      </c>
      <c r="F11" s="98" t="n">
        <v>7</v>
      </c>
      <c r="G11" s="98" t="n">
        <v>8</v>
      </c>
      <c r="H11" s="98" t="n">
        <v>9</v>
      </c>
      <c r="I11" s="98" t="n">
        <v>9</v>
      </c>
      <c r="J11" s="98" t="n">
        <v>8</v>
      </c>
      <c r="K11" s="97" t="n">
        <v>6</v>
      </c>
      <c r="L11" s="93" t="n"/>
      <c r="M11" s="98" t="n">
        <v>8</v>
      </c>
      <c r="N11" s="98" t="n">
        <v>9</v>
      </c>
      <c r="O11" s="98" t="n">
        <v>8</v>
      </c>
      <c r="P11" s="98" t="n">
        <v>10</v>
      </c>
      <c r="Q11" s="93" t="n"/>
      <c r="R11" s="93" t="n"/>
      <c r="S11" s="98" t="n">
        <v>8</v>
      </c>
      <c r="T11" s="98" t="n">
        <v>8</v>
      </c>
      <c r="U11" s="103" t="n">
        <v>6</v>
      </c>
      <c r="V11" s="93" t="n"/>
      <c r="W11" s="103" t="n"/>
      <c r="X11" s="103" t="n">
        <v>5</v>
      </c>
      <c r="Y11" s="103" t="n">
        <v>5</v>
      </c>
      <c r="Z11" s="101">
        <f>IFERROR(ROUND(AVERAGE(C11:Y11),1),"")</f>
        <v/>
      </c>
    </row>
    <row r="12" ht="15" customHeight="1" s="57">
      <c r="A12" s="93" t="n">
        <v>10</v>
      </c>
      <c r="B12" s="94" t="inlineStr">
        <is>
          <t>КРАСНОПЕРОВА АМИНА</t>
        </is>
      </c>
      <c r="C12" s="93" t="n"/>
      <c r="D12" s="97" t="n">
        <v>6</v>
      </c>
      <c r="E12" s="97" t="n">
        <v>6</v>
      </c>
      <c r="F12" s="98" t="n">
        <v>8</v>
      </c>
      <c r="G12" s="98" t="n">
        <v>8</v>
      </c>
      <c r="H12" s="97" t="n">
        <v>6</v>
      </c>
      <c r="I12" s="93" t="n"/>
      <c r="J12" s="97" t="n">
        <v>6</v>
      </c>
      <c r="K12" s="93" t="n"/>
      <c r="L12" s="93" t="n"/>
      <c r="M12" s="98" t="n">
        <v>9</v>
      </c>
      <c r="N12" s="98" t="n">
        <v>7</v>
      </c>
      <c r="O12" s="93" t="n"/>
      <c r="P12" s="98" t="n">
        <v>10</v>
      </c>
      <c r="Q12" s="97" t="n">
        <v>5</v>
      </c>
      <c r="R12" s="93" t="n"/>
      <c r="S12" s="93" t="n"/>
      <c r="T12" s="98" t="n">
        <v>8</v>
      </c>
      <c r="U12" s="93" t="n"/>
      <c r="V12" s="93" t="n"/>
      <c r="W12" s="100" t="n">
        <v>8</v>
      </c>
      <c r="X12" s="100" t="n">
        <v>8</v>
      </c>
      <c r="Y12" s="102" t="n"/>
      <c r="Z12" s="101">
        <f>IFERROR(ROUND(AVERAGE(C12:Y12),1),"")</f>
        <v/>
      </c>
    </row>
    <row r="13" ht="15" customHeight="1" s="57">
      <c r="A13" s="93" t="n">
        <v>11</v>
      </c>
      <c r="B13" s="94" t="inlineStr">
        <is>
          <t>КРАСНОПЕРОВА КАЛЕРИЯ</t>
        </is>
      </c>
      <c r="C13" s="98" t="n">
        <v>8</v>
      </c>
      <c r="D13" s="98" t="n">
        <v>8</v>
      </c>
      <c r="E13" s="93" t="n"/>
      <c r="F13" s="98" t="n">
        <v>7</v>
      </c>
      <c r="G13" s="98" t="n">
        <v>8</v>
      </c>
      <c r="H13" s="97" t="n">
        <v>6</v>
      </c>
      <c r="I13" s="98" t="n">
        <v>8</v>
      </c>
      <c r="J13" s="98" t="n">
        <v>7</v>
      </c>
      <c r="K13" s="98" t="n">
        <v>8</v>
      </c>
      <c r="L13" s="98" t="n">
        <v>8</v>
      </c>
      <c r="M13" s="98" t="n">
        <v>9</v>
      </c>
      <c r="N13" s="98" t="n">
        <v>8</v>
      </c>
      <c r="O13" s="98" t="n">
        <v>9</v>
      </c>
      <c r="P13" s="98" t="n">
        <v>8</v>
      </c>
      <c r="Q13" s="99" t="n">
        <v>4</v>
      </c>
      <c r="R13" s="98" t="n">
        <v>8</v>
      </c>
      <c r="S13" s="93" t="n"/>
      <c r="T13" s="98" t="n">
        <v>9</v>
      </c>
      <c r="U13" s="100" t="n">
        <v>8</v>
      </c>
      <c r="V13" s="93" t="n"/>
      <c r="W13" s="100" t="n">
        <v>8</v>
      </c>
      <c r="X13" s="100" t="n">
        <v>8</v>
      </c>
      <c r="Y13" s="100" t="n">
        <v>8</v>
      </c>
      <c r="Z13" s="101">
        <f>IFERROR(ROUND(AVERAGE(C13:Y13),1),"")</f>
        <v/>
      </c>
    </row>
    <row r="14" ht="15" customHeight="1" s="57">
      <c r="A14" s="93" t="n">
        <v>12</v>
      </c>
      <c r="B14" s="94" t="inlineStr">
        <is>
          <t>ЛУЦИК АРСЕНИЙ</t>
        </is>
      </c>
      <c r="C14" s="98" t="n">
        <v>10</v>
      </c>
      <c r="D14" s="98" t="n">
        <v>10</v>
      </c>
      <c r="E14" s="98" t="n">
        <v>10</v>
      </c>
      <c r="F14" s="98" t="n">
        <v>9</v>
      </c>
      <c r="G14" s="98" t="n">
        <v>10</v>
      </c>
      <c r="H14" s="98" t="n">
        <v>9</v>
      </c>
      <c r="I14" s="98" t="n">
        <v>10</v>
      </c>
      <c r="J14" s="98" t="n">
        <v>9</v>
      </c>
      <c r="K14" s="98" t="n">
        <v>9</v>
      </c>
      <c r="L14" s="93" t="n"/>
      <c r="M14" s="98" t="n">
        <v>10</v>
      </c>
      <c r="N14" s="98" t="n">
        <v>9</v>
      </c>
      <c r="O14" s="98" t="n">
        <v>10</v>
      </c>
      <c r="P14" s="98" t="n">
        <v>10</v>
      </c>
      <c r="Q14" s="93" t="n"/>
      <c r="R14" s="98" t="n">
        <v>10</v>
      </c>
      <c r="S14" s="98" t="n">
        <v>10</v>
      </c>
      <c r="T14" s="98" t="n">
        <v>9</v>
      </c>
      <c r="U14" s="93" t="n"/>
      <c r="V14" s="93" t="n"/>
      <c r="W14" s="100" t="n">
        <v>9</v>
      </c>
      <c r="X14" s="102" t="n"/>
      <c r="Y14" s="100" t="n">
        <v>9</v>
      </c>
      <c r="Z14" s="101">
        <f>IFERROR(ROUND(AVERAGE(C14:Y14),1),"")</f>
        <v/>
      </c>
    </row>
    <row r="15" ht="15" customHeight="1" s="57">
      <c r="A15" s="93" t="n">
        <v>13</v>
      </c>
      <c r="B15" s="94" t="inlineStr">
        <is>
          <t>ПАВЛОВА ЛЮБОВЬ</t>
        </is>
      </c>
      <c r="C15" s="93" t="n"/>
      <c r="D15" s="97" t="n">
        <v>6</v>
      </c>
      <c r="E15" s="98" t="n">
        <v>8</v>
      </c>
      <c r="F15" s="98" t="n">
        <v>8</v>
      </c>
      <c r="G15" s="98" t="n">
        <v>8</v>
      </c>
      <c r="H15" s="93" t="n"/>
      <c r="I15" s="98" t="n">
        <v>7</v>
      </c>
      <c r="J15" s="98" t="n">
        <v>8</v>
      </c>
      <c r="K15" s="98" t="n">
        <v>7</v>
      </c>
      <c r="L15" s="93" t="n"/>
      <c r="M15" s="98" t="n">
        <v>9</v>
      </c>
      <c r="N15" s="98" t="n">
        <v>7</v>
      </c>
      <c r="O15" s="98" t="n">
        <v>8</v>
      </c>
      <c r="P15" s="98" t="n">
        <v>10</v>
      </c>
      <c r="Q15" s="98" t="n">
        <v>8</v>
      </c>
      <c r="R15" s="93" t="n"/>
      <c r="S15" s="93" t="n"/>
      <c r="T15" s="98" t="n">
        <v>9</v>
      </c>
      <c r="U15" s="100" t="n">
        <v>8</v>
      </c>
      <c r="V15" s="93" t="n"/>
      <c r="W15" s="100" t="n">
        <v>8</v>
      </c>
      <c r="X15" s="102" t="n"/>
      <c r="Y15" s="100" t="n">
        <v>8</v>
      </c>
      <c r="Z15" s="101">
        <f>IFERROR(ROUND(AVERAGE(C15:Y15),1),"")</f>
        <v/>
      </c>
    </row>
    <row r="16" ht="15" customHeight="1" s="57">
      <c r="A16" s="93" t="n">
        <v>14</v>
      </c>
      <c r="B16" s="94" t="inlineStr">
        <is>
          <t>ПОДОЛЬСКАЯ ВЕРОНИКА</t>
        </is>
      </c>
      <c r="C16" s="97" t="n">
        <v>6</v>
      </c>
      <c r="D16" s="97" t="n">
        <v>6</v>
      </c>
      <c r="E16" s="98" t="n">
        <v>8</v>
      </c>
      <c r="F16" s="99" t="n">
        <v>4</v>
      </c>
      <c r="G16" s="97" t="n">
        <v>6</v>
      </c>
      <c r="H16" s="97" t="n">
        <v>6</v>
      </c>
      <c r="I16" s="98" t="n">
        <v>8</v>
      </c>
      <c r="J16" s="98" t="n">
        <v>8</v>
      </c>
      <c r="K16" s="98" t="n">
        <v>8</v>
      </c>
      <c r="L16" s="98" t="n">
        <v>8</v>
      </c>
      <c r="M16" s="98" t="n">
        <v>8</v>
      </c>
      <c r="N16" s="98" t="n">
        <v>7</v>
      </c>
      <c r="O16" s="98" t="n">
        <v>7</v>
      </c>
      <c r="P16" s="98" t="n">
        <v>10</v>
      </c>
      <c r="Q16" s="93" t="n"/>
      <c r="R16" s="98" t="n">
        <v>9</v>
      </c>
      <c r="S16" s="93" t="n"/>
      <c r="T16" s="98" t="n">
        <v>8</v>
      </c>
      <c r="U16" s="100" t="n">
        <v>8</v>
      </c>
      <c r="V16" s="93" t="n"/>
      <c r="W16" s="100" t="n">
        <v>8</v>
      </c>
      <c r="X16" s="100" t="n">
        <v>8</v>
      </c>
      <c r="Y16" s="102" t="n"/>
      <c r="Z16" s="101">
        <f>IFERROR(ROUND(AVERAGE(C16:Y16),1),"")</f>
        <v/>
      </c>
    </row>
    <row r="17" ht="15" customHeight="1" s="57">
      <c r="A17" s="93" t="n">
        <v>15</v>
      </c>
      <c r="B17" s="94" t="inlineStr">
        <is>
          <t>ПРИЙМАК ОЛЕГ</t>
        </is>
      </c>
      <c r="C17" s="93" t="n"/>
      <c r="D17" s="97" t="n">
        <v>6</v>
      </c>
      <c r="E17" s="97" t="n">
        <v>6</v>
      </c>
      <c r="F17" s="93" t="n"/>
      <c r="G17" s="97" t="n">
        <v>6</v>
      </c>
      <c r="H17" s="97" t="n">
        <v>6</v>
      </c>
      <c r="I17" s="97" t="n">
        <v>6</v>
      </c>
      <c r="J17" s="93" t="n"/>
      <c r="K17" s="93" t="n"/>
      <c r="L17" s="93" t="n"/>
      <c r="M17" s="97" t="n">
        <v>6</v>
      </c>
      <c r="N17" s="93" t="n"/>
      <c r="O17" s="97" t="n">
        <v>6</v>
      </c>
      <c r="P17" s="97" t="n">
        <v>6</v>
      </c>
      <c r="Q17" s="97" t="n">
        <v>5</v>
      </c>
      <c r="R17" s="97" t="n">
        <v>6</v>
      </c>
      <c r="S17" s="93" t="n"/>
      <c r="T17" s="98" t="n">
        <v>8</v>
      </c>
      <c r="U17" s="93" t="n"/>
      <c r="V17" s="93" t="n"/>
      <c r="W17" s="103" t="n">
        <v>5</v>
      </c>
      <c r="X17" s="103" t="n">
        <v>5</v>
      </c>
      <c r="Y17" s="103" t="n">
        <v>6</v>
      </c>
      <c r="Z17" s="101">
        <f>IFERROR(ROUND(AVERAGE(C17:Y17),1),"")</f>
        <v/>
      </c>
    </row>
    <row r="18" ht="15" customHeight="1" s="57">
      <c r="A18" s="93" t="n">
        <v>16</v>
      </c>
      <c r="B18" s="94" t="inlineStr">
        <is>
          <t>ТАВОРСКАЯ МИЛАНА</t>
        </is>
      </c>
      <c r="C18" s="98" t="n">
        <v>10</v>
      </c>
      <c r="D18" s="98" t="n">
        <v>10</v>
      </c>
      <c r="E18" s="98" t="n">
        <v>10</v>
      </c>
      <c r="F18" s="98" t="n">
        <v>10</v>
      </c>
      <c r="G18" s="98" t="n">
        <v>10</v>
      </c>
      <c r="H18" s="98" t="n">
        <v>10</v>
      </c>
      <c r="I18" s="98" t="n">
        <v>10</v>
      </c>
      <c r="J18" s="98" t="n">
        <v>10</v>
      </c>
      <c r="K18" s="98" t="n">
        <v>10</v>
      </c>
      <c r="L18" s="93" t="n"/>
      <c r="M18" s="98" t="n">
        <v>10</v>
      </c>
      <c r="N18" s="98" t="n">
        <v>10</v>
      </c>
      <c r="O18" s="98" t="n">
        <v>10</v>
      </c>
      <c r="P18" s="98" t="n">
        <v>10</v>
      </c>
      <c r="Q18" s="98" t="n">
        <v>8</v>
      </c>
      <c r="R18" s="93" t="n"/>
      <c r="S18" s="98" t="n">
        <v>10</v>
      </c>
      <c r="T18" s="98" t="n">
        <v>10</v>
      </c>
      <c r="U18" s="100" t="n">
        <v>10</v>
      </c>
      <c r="V18" s="93" t="n"/>
      <c r="W18" s="93" t="n"/>
      <c r="X18" s="100" t="n">
        <v>9</v>
      </c>
      <c r="Y18" s="100" t="n">
        <v>9</v>
      </c>
      <c r="Z18" s="101">
        <f>IFERROR(ROUND(AVERAGE(C18:Y18),1),"")</f>
        <v/>
      </c>
    </row>
    <row r="19" ht="15" customHeight="1" s="57">
      <c r="A19" s="93" t="n">
        <v>17</v>
      </c>
      <c r="B19" s="94" t="inlineStr">
        <is>
          <t>ТРУБЧАНИНОВА АРИНА</t>
        </is>
      </c>
      <c r="C19" s="97" t="n">
        <v>6</v>
      </c>
      <c r="D19" s="97" t="n">
        <v>6</v>
      </c>
      <c r="E19" s="98" t="n">
        <v>8</v>
      </c>
      <c r="F19" s="93" t="n"/>
      <c r="G19" s="97" t="n">
        <v>6</v>
      </c>
      <c r="H19" s="98" t="n">
        <v>8</v>
      </c>
      <c r="I19" s="97" t="n">
        <v>6</v>
      </c>
      <c r="J19" s="93" t="n"/>
      <c r="K19" s="97" t="n">
        <v>6</v>
      </c>
      <c r="L19" s="93" t="n"/>
      <c r="M19" s="98" t="n">
        <v>8</v>
      </c>
      <c r="N19" s="97" t="n">
        <v>6</v>
      </c>
      <c r="O19" s="93" t="n"/>
      <c r="P19" s="93" t="n"/>
      <c r="Q19" s="93" t="n"/>
      <c r="R19" s="98" t="n">
        <v>7</v>
      </c>
      <c r="S19" s="93" t="n"/>
      <c r="T19" s="93" t="n"/>
      <c r="U19" s="93" t="n"/>
      <c r="V19" s="93" t="n"/>
      <c r="W19" s="103" t="n">
        <v>6</v>
      </c>
      <c r="X19" s="102" t="n"/>
      <c r="Y19" s="103" t="n">
        <v>5</v>
      </c>
      <c r="Z19" s="101">
        <f>IFERROR(ROUND(AVERAGE(C19:Y19),1),"")</f>
        <v/>
      </c>
    </row>
    <row r="20" ht="15" customHeight="1" s="57">
      <c r="A20" s="93" t="n">
        <v>18</v>
      </c>
      <c r="B20" s="94" t="inlineStr">
        <is>
          <t>ЧИЧМАРЕНКО ВИКТОР</t>
        </is>
      </c>
      <c r="C20" s="98" t="n">
        <v>10</v>
      </c>
      <c r="D20" s="98" t="n">
        <v>10</v>
      </c>
      <c r="E20" s="98" t="n">
        <v>10</v>
      </c>
      <c r="F20" s="98" t="n">
        <v>10</v>
      </c>
      <c r="G20" s="98" t="n">
        <v>10</v>
      </c>
      <c r="H20" s="98" t="n">
        <v>10</v>
      </c>
      <c r="I20" s="98" t="n">
        <v>10</v>
      </c>
      <c r="J20" s="98" t="n">
        <v>10</v>
      </c>
      <c r="K20" s="98" t="n">
        <v>10</v>
      </c>
      <c r="L20" s="98" t="n">
        <v>10</v>
      </c>
      <c r="M20" s="98" t="n">
        <v>10</v>
      </c>
      <c r="N20" s="98" t="n">
        <v>10</v>
      </c>
      <c r="O20" s="98" t="n">
        <v>10</v>
      </c>
      <c r="P20" s="98" t="n">
        <v>10</v>
      </c>
      <c r="Q20" s="93" t="n"/>
      <c r="R20" s="98" t="n">
        <v>10</v>
      </c>
      <c r="S20" s="98" t="n">
        <v>10</v>
      </c>
      <c r="T20" s="98" t="n">
        <v>10</v>
      </c>
      <c r="U20" s="98" t="n">
        <v>10</v>
      </c>
      <c r="V20" s="93" t="n"/>
      <c r="W20" s="98" t="n">
        <v>10</v>
      </c>
      <c r="X20" s="100" t="n">
        <v>9</v>
      </c>
      <c r="Y20" s="100" t="n">
        <v>9</v>
      </c>
      <c r="Z20" s="101">
        <f>IFERROR(ROUND(AVERAGE(C20:Y20),1),"")</f>
        <v/>
      </c>
    </row>
    <row r="21" ht="15" customHeight="1" s="57">
      <c r="A21" s="93" t="n">
        <v>19</v>
      </c>
      <c r="B21" s="94" t="inlineStr">
        <is>
          <t>ШТОПЕЛЬ АНДРЕЙ</t>
        </is>
      </c>
      <c r="C21" s="93" t="n"/>
      <c r="D21" s="97" t="n">
        <v>6</v>
      </c>
      <c r="E21" s="97" t="n">
        <v>6</v>
      </c>
      <c r="F21" s="98" t="n">
        <v>8</v>
      </c>
      <c r="G21" s="97" t="n">
        <v>6</v>
      </c>
      <c r="H21" s="93" t="n"/>
      <c r="I21" s="97" t="n">
        <v>6</v>
      </c>
      <c r="J21" s="97" t="n">
        <v>6</v>
      </c>
      <c r="K21" s="98" t="n">
        <v>8</v>
      </c>
      <c r="L21" s="93" t="n"/>
      <c r="M21" s="93" t="n"/>
      <c r="N21" s="97" t="n">
        <v>6</v>
      </c>
      <c r="O21" s="93" t="n"/>
      <c r="P21" s="98" t="n">
        <v>8</v>
      </c>
      <c r="Q21" s="99" t="n">
        <v>4</v>
      </c>
      <c r="R21" s="98" t="n">
        <v>7</v>
      </c>
      <c r="S21" s="98" t="n">
        <v>7</v>
      </c>
      <c r="T21" s="98" t="n">
        <v>7</v>
      </c>
      <c r="U21" s="100" t="n">
        <v>8</v>
      </c>
      <c r="V21" s="93" t="n"/>
      <c r="W21" s="100" t="n">
        <v>8</v>
      </c>
      <c r="X21" s="100" t="n">
        <v>8</v>
      </c>
      <c r="Y21" s="102" t="n"/>
      <c r="Z21" s="101">
        <f>IFERROR(ROUND(AVERAGE(C21:Y21),1),"")</f>
        <v/>
      </c>
    </row>
    <row r="22" ht="15" customHeight="1" s="57">
      <c r="A22" s="93" t="n">
        <v>20</v>
      </c>
      <c r="B22" s="94" t="inlineStr">
        <is>
          <t>ШТОПЕЛЬ ВАЛЕРИЯ</t>
        </is>
      </c>
      <c r="C22" s="98" t="n">
        <v>8</v>
      </c>
      <c r="D22" s="98" t="n">
        <v>8</v>
      </c>
      <c r="E22" s="93" t="n"/>
      <c r="F22" s="98" t="n">
        <v>7</v>
      </c>
      <c r="G22" s="98" t="n">
        <v>8</v>
      </c>
      <c r="H22" s="97" t="n">
        <v>6</v>
      </c>
      <c r="I22" s="98" t="n">
        <v>8</v>
      </c>
      <c r="J22" s="98" t="n">
        <v>7</v>
      </c>
      <c r="K22" s="98" t="n">
        <v>8</v>
      </c>
      <c r="L22" s="93" t="n"/>
      <c r="M22" s="98" t="n">
        <v>9</v>
      </c>
      <c r="N22" s="98" t="n">
        <v>8</v>
      </c>
      <c r="O22" s="98" t="n">
        <v>9</v>
      </c>
      <c r="P22" s="98" t="n">
        <v>8</v>
      </c>
      <c r="Q22" s="99" t="n">
        <v>4</v>
      </c>
      <c r="R22" s="98" t="n">
        <v>8</v>
      </c>
      <c r="S22" s="93" t="n"/>
      <c r="T22" s="98" t="n">
        <v>9</v>
      </c>
      <c r="U22" s="100" t="n">
        <v>8</v>
      </c>
      <c r="V22" s="93" t="n"/>
      <c r="W22" s="93" t="n"/>
      <c r="X22" s="100" t="n">
        <v>8</v>
      </c>
      <c r="Y22" s="100" t="n">
        <v>8</v>
      </c>
      <c r="Z22" s="101">
        <f>IFERROR(ROUND(AVERAGE(C22:Y22),1),"")</f>
        <v/>
      </c>
    </row>
  </sheetData>
  <mergeCells count="1">
    <mergeCell ref="A1:Z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S22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5" customWidth="1" style="56" min="1" max="1"/>
    <col width="28" customWidth="1" style="56" min="2" max="2"/>
    <col width="9" customWidth="1" style="56" min="3" max="18"/>
    <col width="10" customWidth="1" style="56" min="19" max="19"/>
  </cols>
  <sheetData>
    <row r="1" ht="17.25" customHeight="1" s="57">
      <c r="A1" s="91" t="inlineStr">
        <is>
          <t>9Б Геометрия — оценки (на 23.10.2026)</t>
        </is>
      </c>
    </row>
    <row r="2" ht="31.5" customHeight="1" s="57">
      <c r="A2" s="92" t="inlineStr">
        <is>
          <t>№</t>
        </is>
      </c>
      <c r="B2" s="92" t="inlineStr">
        <is>
          <t>ФИО</t>
        </is>
      </c>
      <c r="C2" s="92" t="inlineStr">
        <is>
          <t>01.09.26</t>
        </is>
      </c>
      <c r="D2" s="92" t="inlineStr">
        <is>
          <t>03.09.26</t>
        </is>
      </c>
      <c r="E2" s="92" t="inlineStr">
        <is>
          <t>08.09.26</t>
        </is>
      </c>
      <c r="F2" s="92" t="inlineStr">
        <is>
          <t>10.09.26</t>
        </is>
      </c>
      <c r="G2" s="92" t="inlineStr">
        <is>
          <t>15.09.26</t>
        </is>
      </c>
      <c r="H2" s="92" t="inlineStr">
        <is>
          <t>17.09.26</t>
        </is>
      </c>
      <c r="I2" s="92" t="inlineStr">
        <is>
          <t>22.09.26</t>
        </is>
      </c>
      <c r="J2" s="92" t="inlineStr">
        <is>
          <t>24.09.26</t>
        </is>
      </c>
      <c r="K2" s="92" t="inlineStr">
        <is>
          <t>29.09.26</t>
        </is>
      </c>
      <c r="L2" s="92" t="inlineStr">
        <is>
          <t>01.10.26</t>
        </is>
      </c>
      <c r="M2" s="92" t="inlineStr">
        <is>
          <t>06.10.26</t>
        </is>
      </c>
      <c r="N2" s="95" t="inlineStr">
        <is>
          <t>08.10.26
СОР</t>
        </is>
      </c>
      <c r="O2" s="92" t="inlineStr">
        <is>
          <t>13.10.26</t>
        </is>
      </c>
      <c r="P2" s="96" t="inlineStr">
        <is>
          <t>15.10.26
СОЧ</t>
        </is>
      </c>
      <c r="Q2" s="92" t="inlineStr">
        <is>
          <t>20.10.26</t>
        </is>
      </c>
      <c r="R2" s="92" t="inlineStr">
        <is>
          <t>22.10.26</t>
        </is>
      </c>
      <c r="S2" s="92" t="inlineStr">
        <is>
          <t>Средний</t>
        </is>
      </c>
    </row>
    <row r="3" ht="15" customHeight="1" s="57">
      <c r="A3" s="93" t="n">
        <v>1</v>
      </c>
      <c r="B3" s="94" t="inlineStr">
        <is>
          <t>АКАУОВ АНСАР</t>
        </is>
      </c>
      <c r="C3" s="98" t="n">
        <v>10</v>
      </c>
      <c r="D3" s="98" t="n">
        <v>9</v>
      </c>
      <c r="E3" s="98" t="n">
        <v>10</v>
      </c>
      <c r="F3" s="98" t="n">
        <v>9</v>
      </c>
      <c r="G3" s="98" t="n">
        <v>9</v>
      </c>
      <c r="H3" s="98" t="n">
        <v>10</v>
      </c>
      <c r="I3" s="93" t="n"/>
      <c r="J3" s="98" t="n">
        <v>10</v>
      </c>
      <c r="K3" s="98" t="n">
        <v>9</v>
      </c>
      <c r="L3" s="98" t="n">
        <v>10</v>
      </c>
      <c r="M3" s="98" t="n">
        <v>10</v>
      </c>
      <c r="N3" s="98" t="n">
        <v>10</v>
      </c>
      <c r="O3" s="98" t="n">
        <v>10</v>
      </c>
      <c r="P3" s="93" t="n"/>
      <c r="Q3" s="100" t="n">
        <v>10</v>
      </c>
      <c r="R3" s="102" t="n"/>
      <c r="S3" s="101">
        <f>IFERROR(ROUND(AVERAGE(C3:R3),1),"")</f>
        <v/>
      </c>
    </row>
    <row r="4" ht="15" customHeight="1" s="57">
      <c r="A4" s="93" t="n">
        <v>2</v>
      </c>
      <c r="B4" s="94" t="inlineStr">
        <is>
          <t>БАЙЛЬДИНОВ ИСЛАМ</t>
        </is>
      </c>
      <c r="C4" s="98" t="n">
        <v>10</v>
      </c>
      <c r="D4" s="98" t="n">
        <v>10</v>
      </c>
      <c r="E4" s="98" t="n">
        <v>10</v>
      </c>
      <c r="F4" s="98" t="n">
        <v>10</v>
      </c>
      <c r="G4" s="98" t="n">
        <v>10</v>
      </c>
      <c r="H4" s="98" t="n">
        <v>9</v>
      </c>
      <c r="I4" s="98" t="n">
        <v>10</v>
      </c>
      <c r="J4" s="98" t="n">
        <v>10</v>
      </c>
      <c r="K4" s="98" t="n">
        <v>10</v>
      </c>
      <c r="L4" s="98" t="n">
        <v>10</v>
      </c>
      <c r="M4" s="98" t="n">
        <v>10</v>
      </c>
      <c r="N4" s="93" t="n"/>
      <c r="O4" s="100" t="n">
        <v>9</v>
      </c>
      <c r="P4" s="93" t="n"/>
      <c r="Q4" s="93" t="n"/>
      <c r="R4" s="93" t="n"/>
      <c r="S4" s="101">
        <f>IFERROR(ROUND(AVERAGE(C4:R4),1),"")</f>
        <v/>
      </c>
    </row>
    <row r="5" ht="15" customHeight="1" s="57">
      <c r="A5" s="93" t="n">
        <v>3</v>
      </c>
      <c r="B5" s="94" t="inlineStr">
        <is>
          <t>БАТУХТИНА ВИКТОРИЯ</t>
        </is>
      </c>
      <c r="C5" s="93" t="n"/>
      <c r="D5" s="97" t="n">
        <v>6</v>
      </c>
      <c r="E5" s="98" t="n">
        <v>8</v>
      </c>
      <c r="F5" s="93" t="n"/>
      <c r="G5" s="97" t="n">
        <v>6</v>
      </c>
      <c r="H5" s="98" t="n">
        <v>8</v>
      </c>
      <c r="I5" s="98" t="n">
        <v>8</v>
      </c>
      <c r="J5" s="97" t="n">
        <v>6</v>
      </c>
      <c r="K5" s="93" t="n"/>
      <c r="L5" s="98" t="n">
        <v>8</v>
      </c>
      <c r="M5" s="93" t="n"/>
      <c r="N5" s="98" t="n">
        <v>8</v>
      </c>
      <c r="O5" s="98" t="n">
        <v>9</v>
      </c>
      <c r="P5" s="93" t="n"/>
      <c r="Q5" s="100" t="n">
        <v>8</v>
      </c>
      <c r="R5" s="100" t="n">
        <v>8</v>
      </c>
      <c r="S5" s="101">
        <f>IFERROR(ROUND(AVERAGE(C5:R5),1),"")</f>
        <v/>
      </c>
    </row>
    <row r="6" ht="15" customHeight="1" s="57">
      <c r="A6" s="93" t="n">
        <v>4</v>
      </c>
      <c r="B6" s="94" t="inlineStr">
        <is>
          <t>ГАЗИЕВ ТИМУР</t>
        </is>
      </c>
      <c r="C6" s="98" t="n">
        <v>8</v>
      </c>
      <c r="D6" s="98" t="n">
        <v>8</v>
      </c>
      <c r="E6" s="98" t="n">
        <v>8</v>
      </c>
      <c r="F6" s="98" t="n">
        <v>8</v>
      </c>
      <c r="G6" s="98" t="n">
        <v>9</v>
      </c>
      <c r="H6" s="98" t="n">
        <v>8</v>
      </c>
      <c r="I6" s="93" t="n"/>
      <c r="J6" s="98" t="n">
        <v>8</v>
      </c>
      <c r="K6" s="98" t="n">
        <v>9</v>
      </c>
      <c r="L6" s="93" t="n"/>
      <c r="M6" s="98" t="n">
        <v>10</v>
      </c>
      <c r="N6" s="100" t="n">
        <v>8</v>
      </c>
      <c r="O6" s="93" t="n"/>
      <c r="P6" s="93" t="n"/>
      <c r="Q6" s="100" t="n">
        <v>8</v>
      </c>
      <c r="R6" s="100" t="n">
        <v>8</v>
      </c>
      <c r="S6" s="101">
        <f>IFERROR(ROUND(AVERAGE(C6:R6),1),"")</f>
        <v/>
      </c>
    </row>
    <row r="7" ht="15" customHeight="1" s="57">
      <c r="A7" s="93" t="n">
        <v>5</v>
      </c>
      <c r="B7" s="94" t="inlineStr">
        <is>
          <t>ГАНТИМУРОВА ЛЮБОВЬ</t>
        </is>
      </c>
      <c r="C7" s="98" t="n">
        <v>8</v>
      </c>
      <c r="D7" s="97" t="n">
        <v>6</v>
      </c>
      <c r="E7" s="98" t="n">
        <v>8</v>
      </c>
      <c r="F7" s="98" t="n">
        <v>8</v>
      </c>
      <c r="G7" s="97" t="n">
        <v>6</v>
      </c>
      <c r="H7" s="93" t="n"/>
      <c r="I7" s="98" t="n">
        <v>8</v>
      </c>
      <c r="J7" s="98" t="n">
        <v>8</v>
      </c>
      <c r="K7" s="98" t="n">
        <v>10</v>
      </c>
      <c r="L7" s="98" t="n">
        <v>10</v>
      </c>
      <c r="M7" s="98" t="n">
        <v>9</v>
      </c>
      <c r="N7" s="93" t="n"/>
      <c r="O7" s="93" t="n"/>
      <c r="P7" s="93" t="n"/>
      <c r="Q7" s="100" t="n">
        <v>8</v>
      </c>
      <c r="R7" s="100" t="n">
        <v>8</v>
      </c>
      <c r="S7" s="101">
        <f>IFERROR(ROUND(AVERAGE(C7:R7),1),"")</f>
        <v/>
      </c>
    </row>
    <row r="8" ht="15" customHeight="1" s="57">
      <c r="A8" s="93" t="n">
        <v>6</v>
      </c>
      <c r="B8" s="94" t="inlineStr">
        <is>
          <t>ДОЙНЕКО ЭРНЕСТ</t>
        </is>
      </c>
      <c r="C8" s="93" t="n"/>
      <c r="D8" s="98" t="n">
        <v>8</v>
      </c>
      <c r="E8" s="97" t="n">
        <v>6</v>
      </c>
      <c r="F8" s="98" t="n">
        <v>8</v>
      </c>
      <c r="G8" s="98" t="n">
        <v>8</v>
      </c>
      <c r="H8" s="97" t="n">
        <v>6</v>
      </c>
      <c r="I8" s="98" t="n">
        <v>8</v>
      </c>
      <c r="J8" s="98" t="n">
        <v>7</v>
      </c>
      <c r="K8" s="93" t="n"/>
      <c r="L8" s="98" t="n">
        <v>7</v>
      </c>
      <c r="M8" s="99" t="n">
        <v>4</v>
      </c>
      <c r="N8" s="93" t="n"/>
      <c r="O8" s="98" t="n">
        <v>8</v>
      </c>
      <c r="P8" s="93" t="n"/>
      <c r="Q8" s="100" t="n">
        <v>8</v>
      </c>
      <c r="R8" s="100" t="n">
        <v>8</v>
      </c>
      <c r="S8" s="101">
        <f>IFERROR(ROUND(AVERAGE(C8:R8),1),"")</f>
        <v/>
      </c>
    </row>
    <row r="9" ht="15" customHeight="1" s="57">
      <c r="A9" s="93" t="n">
        <v>7</v>
      </c>
      <c r="B9" s="94" t="inlineStr">
        <is>
          <t>КАЙРУЛЛИН АРСЕНТИЙ</t>
        </is>
      </c>
      <c r="C9" s="97" t="n">
        <v>6</v>
      </c>
      <c r="D9" s="93" t="n"/>
      <c r="E9" s="97" t="n">
        <v>6</v>
      </c>
      <c r="F9" s="97" t="n">
        <v>6</v>
      </c>
      <c r="G9" s="97" t="n">
        <v>6</v>
      </c>
      <c r="H9" s="98" t="n">
        <v>8</v>
      </c>
      <c r="I9" s="97" t="n">
        <v>6</v>
      </c>
      <c r="J9" s="97" t="n">
        <v>6</v>
      </c>
      <c r="K9" s="97" t="n">
        <v>6</v>
      </c>
      <c r="L9" s="97" t="n">
        <v>6</v>
      </c>
      <c r="M9" s="97" t="n">
        <v>6</v>
      </c>
      <c r="N9" s="93" t="n"/>
      <c r="O9" s="103" t="n">
        <v>5</v>
      </c>
      <c r="P9" s="93" t="n"/>
      <c r="Q9" s="103" t="n">
        <v>5</v>
      </c>
      <c r="R9" s="103" t="n">
        <v>6</v>
      </c>
      <c r="S9" s="101">
        <f>IFERROR(ROUND(AVERAGE(C9:R9),1),"")</f>
        <v/>
      </c>
    </row>
    <row r="10" ht="15" customHeight="1" s="57">
      <c r="A10" s="93" t="n">
        <v>8</v>
      </c>
      <c r="B10" s="94" t="inlineStr">
        <is>
          <t>КОЗЛОВ ВАДИМ</t>
        </is>
      </c>
      <c r="C10" s="98" t="n">
        <v>8</v>
      </c>
      <c r="D10" s="98" t="n">
        <v>8</v>
      </c>
      <c r="E10" s="98" t="n">
        <v>8</v>
      </c>
      <c r="F10" s="97" t="n">
        <v>5</v>
      </c>
      <c r="G10" s="93" t="n"/>
      <c r="H10" s="98" t="n">
        <v>8</v>
      </c>
      <c r="I10" s="98" t="n">
        <v>9</v>
      </c>
      <c r="J10" s="98" t="n">
        <v>8</v>
      </c>
      <c r="K10" s="98" t="n">
        <v>9</v>
      </c>
      <c r="L10" s="93" t="n"/>
      <c r="M10" s="97" t="n">
        <v>6</v>
      </c>
      <c r="N10" s="100" t="n">
        <v>8</v>
      </c>
      <c r="O10" s="93" t="n"/>
      <c r="P10" s="93" t="n"/>
      <c r="Q10" s="93" t="n"/>
      <c r="R10" s="100" t="n">
        <v>8</v>
      </c>
      <c r="S10" s="101">
        <f>IFERROR(ROUND(AVERAGE(C10:R10),1),"")</f>
        <v/>
      </c>
    </row>
    <row r="11" ht="15" customHeight="1" s="57">
      <c r="A11" s="93" t="n">
        <v>9</v>
      </c>
      <c r="B11" s="94" t="inlineStr">
        <is>
          <t>КОЛМОГОРОВА АНАСТАСИЯ</t>
        </is>
      </c>
      <c r="C11" s="93" t="n"/>
      <c r="D11" s="98" t="n">
        <v>8</v>
      </c>
      <c r="E11" s="98" t="n">
        <v>8</v>
      </c>
      <c r="F11" s="98" t="n">
        <v>7</v>
      </c>
      <c r="G11" s="98" t="n">
        <v>8</v>
      </c>
      <c r="H11" s="98" t="n">
        <v>9</v>
      </c>
      <c r="I11" s="98" t="n">
        <v>9</v>
      </c>
      <c r="J11" s="98" t="n">
        <v>8</v>
      </c>
      <c r="K11" s="97" t="n">
        <v>6</v>
      </c>
      <c r="L11" s="98" t="n">
        <v>8</v>
      </c>
      <c r="M11" s="98" t="n">
        <v>8</v>
      </c>
      <c r="N11" s="93" t="n"/>
      <c r="O11" s="100" t="n">
        <v>8</v>
      </c>
      <c r="P11" s="93" t="n"/>
      <c r="Q11" s="93" t="n"/>
      <c r="R11" s="100" t="n">
        <v>8</v>
      </c>
      <c r="S11" s="101">
        <f>IFERROR(ROUND(AVERAGE(C11:R11),1),"")</f>
        <v/>
      </c>
    </row>
    <row r="12" ht="15" customHeight="1" s="57">
      <c r="A12" s="93" t="n">
        <v>10</v>
      </c>
      <c r="B12" s="94" t="inlineStr">
        <is>
          <t>КРАСНОПЕРОВА АМИНА</t>
        </is>
      </c>
      <c r="C12" s="93" t="n"/>
      <c r="D12" s="97" t="n">
        <v>6</v>
      </c>
      <c r="E12" s="97" t="n">
        <v>6</v>
      </c>
      <c r="F12" s="98" t="n">
        <v>8</v>
      </c>
      <c r="G12" s="98" t="n">
        <v>8</v>
      </c>
      <c r="H12" s="97" t="n">
        <v>6</v>
      </c>
      <c r="I12" s="93" t="n"/>
      <c r="J12" s="97" t="n">
        <v>6</v>
      </c>
      <c r="K12" s="93" t="n"/>
      <c r="L12" s="98" t="n">
        <v>9</v>
      </c>
      <c r="M12" s="98" t="n">
        <v>7</v>
      </c>
      <c r="N12" s="100" t="n">
        <v>8</v>
      </c>
      <c r="O12" s="93" t="n"/>
      <c r="P12" s="93" t="n"/>
      <c r="Q12" s="100" t="n">
        <v>8</v>
      </c>
      <c r="R12" s="102" t="n"/>
      <c r="S12" s="101">
        <f>IFERROR(ROUND(AVERAGE(C12:R12),1),"")</f>
        <v/>
      </c>
    </row>
    <row r="13" ht="15" customHeight="1" s="57">
      <c r="A13" s="93" t="n">
        <v>11</v>
      </c>
      <c r="B13" s="94" t="inlineStr">
        <is>
          <t>КРАСНОПЕРОВА КАЛЕРИЯ</t>
        </is>
      </c>
      <c r="C13" s="98" t="n">
        <v>8</v>
      </c>
      <c r="D13" s="98" t="n">
        <v>8</v>
      </c>
      <c r="E13" s="93" t="n"/>
      <c r="F13" s="98" t="n">
        <v>7</v>
      </c>
      <c r="G13" s="98" t="n">
        <v>8</v>
      </c>
      <c r="H13" s="97" t="n">
        <v>6</v>
      </c>
      <c r="I13" s="98" t="n">
        <v>8</v>
      </c>
      <c r="J13" s="98" t="n">
        <v>9</v>
      </c>
      <c r="K13" s="98" t="n">
        <v>8</v>
      </c>
      <c r="L13" s="98" t="n">
        <v>9</v>
      </c>
      <c r="M13" s="98" t="n">
        <v>8</v>
      </c>
      <c r="N13" s="98" t="n">
        <v>8</v>
      </c>
      <c r="O13" s="100" t="n">
        <v>8</v>
      </c>
      <c r="P13" s="93" t="n"/>
      <c r="Q13" s="100" t="n">
        <v>8</v>
      </c>
      <c r="R13" s="100" t="n">
        <v>8</v>
      </c>
      <c r="S13" s="101">
        <f>IFERROR(ROUND(AVERAGE(C13:R13),1),"")</f>
        <v/>
      </c>
    </row>
    <row r="14" ht="15" customHeight="1" s="57">
      <c r="A14" s="93" t="n">
        <v>12</v>
      </c>
      <c r="B14" s="94" t="inlineStr">
        <is>
          <t>ЛУЦИК АРСЕНИЙ</t>
        </is>
      </c>
      <c r="C14" s="98" t="n">
        <v>10</v>
      </c>
      <c r="D14" s="98" t="n">
        <v>10</v>
      </c>
      <c r="E14" s="98" t="n">
        <v>10</v>
      </c>
      <c r="F14" s="98" t="n">
        <v>9</v>
      </c>
      <c r="G14" s="98" t="n">
        <v>10</v>
      </c>
      <c r="H14" s="98" t="n">
        <v>9</v>
      </c>
      <c r="I14" s="98" t="n">
        <v>10</v>
      </c>
      <c r="J14" s="98" t="n">
        <v>9</v>
      </c>
      <c r="K14" s="98" t="n">
        <v>9</v>
      </c>
      <c r="L14" s="98" t="n">
        <v>10</v>
      </c>
      <c r="M14" s="98" t="n">
        <v>10</v>
      </c>
      <c r="N14" s="100" t="n">
        <v>9</v>
      </c>
      <c r="O14" s="98" t="n">
        <v>9</v>
      </c>
      <c r="P14" s="93" t="n"/>
      <c r="Q14" s="100" t="n">
        <v>10</v>
      </c>
      <c r="R14" s="100" t="n">
        <v>9</v>
      </c>
      <c r="S14" s="101">
        <f>IFERROR(ROUND(AVERAGE(C14:R14),1),"")</f>
        <v/>
      </c>
    </row>
    <row r="15" ht="15" customHeight="1" s="57">
      <c r="A15" s="93" t="n">
        <v>13</v>
      </c>
      <c r="B15" s="94" t="inlineStr">
        <is>
          <t>ПАВЛОВА ЛЮБОВЬ</t>
        </is>
      </c>
      <c r="C15" s="93" t="n"/>
      <c r="D15" s="97" t="n">
        <v>6</v>
      </c>
      <c r="E15" s="98" t="n">
        <v>8</v>
      </c>
      <c r="F15" s="98" t="n">
        <v>8</v>
      </c>
      <c r="G15" s="98" t="n">
        <v>8</v>
      </c>
      <c r="H15" s="93" t="n"/>
      <c r="I15" s="98" t="n">
        <v>7</v>
      </c>
      <c r="J15" s="98" t="n">
        <v>8</v>
      </c>
      <c r="K15" s="98" t="n">
        <v>7</v>
      </c>
      <c r="L15" s="98" t="n">
        <v>9</v>
      </c>
      <c r="M15" s="93" t="n"/>
      <c r="N15" s="100" t="n">
        <v>8</v>
      </c>
      <c r="O15" s="100" t="n">
        <v>8</v>
      </c>
      <c r="P15" s="93" t="n"/>
      <c r="Q15" s="93" t="n"/>
      <c r="R15" s="93" t="n"/>
      <c r="S15" s="101">
        <f>IFERROR(ROUND(AVERAGE(C15:R15),1),"")</f>
        <v/>
      </c>
    </row>
    <row r="16" ht="15" customHeight="1" s="57">
      <c r="A16" s="93" t="n">
        <v>14</v>
      </c>
      <c r="B16" s="94" t="inlineStr">
        <is>
          <t>ПОДОЛЬСКАЯ ВЕРОНИКА</t>
        </is>
      </c>
      <c r="C16" s="98" t="n">
        <v>8</v>
      </c>
      <c r="D16" s="97" t="n">
        <v>6</v>
      </c>
      <c r="E16" s="98" t="n">
        <v>8</v>
      </c>
      <c r="F16" s="98" t="n">
        <v>8</v>
      </c>
      <c r="G16" s="97" t="n">
        <v>6</v>
      </c>
      <c r="H16" s="97" t="n">
        <v>6</v>
      </c>
      <c r="I16" s="98" t="n">
        <v>8</v>
      </c>
      <c r="J16" s="98" t="n">
        <v>8</v>
      </c>
      <c r="K16" s="98" t="n">
        <v>10</v>
      </c>
      <c r="L16" s="98" t="n">
        <v>10</v>
      </c>
      <c r="M16" s="98" t="n">
        <v>9</v>
      </c>
      <c r="N16" s="93" t="n"/>
      <c r="O16" s="100" t="n">
        <v>8</v>
      </c>
      <c r="P16" s="93" t="n"/>
      <c r="Q16" s="100" t="n">
        <v>8</v>
      </c>
      <c r="R16" s="100" t="n">
        <v>8</v>
      </c>
      <c r="S16" s="101">
        <f>IFERROR(ROUND(AVERAGE(C16:R16),1),"")</f>
        <v/>
      </c>
    </row>
    <row r="17" ht="15" customHeight="1" s="57">
      <c r="A17" s="93" t="n">
        <v>15</v>
      </c>
      <c r="B17" s="94" t="inlineStr">
        <is>
          <t>ПРИЙМАК ОЛЕГ</t>
        </is>
      </c>
      <c r="C17" s="93" t="n"/>
      <c r="D17" s="97" t="n">
        <v>6</v>
      </c>
      <c r="E17" s="97" t="n">
        <v>6</v>
      </c>
      <c r="F17" s="93" t="n"/>
      <c r="G17" s="97" t="n">
        <v>6</v>
      </c>
      <c r="H17" s="97" t="n">
        <v>6</v>
      </c>
      <c r="I17" s="97" t="n">
        <v>6</v>
      </c>
      <c r="J17" s="93" t="n"/>
      <c r="K17" s="93" t="n"/>
      <c r="L17" s="97" t="n">
        <v>6</v>
      </c>
      <c r="M17" s="97" t="n">
        <v>6</v>
      </c>
      <c r="N17" s="97" t="n">
        <v>6</v>
      </c>
      <c r="O17" s="103" t="n">
        <v>5</v>
      </c>
      <c r="P17" s="93" t="n"/>
      <c r="Q17" s="93" t="n"/>
      <c r="R17" s="103" t="n">
        <v>6</v>
      </c>
      <c r="S17" s="101">
        <f>IFERROR(ROUND(AVERAGE(C17:R17),1),"")</f>
        <v/>
      </c>
    </row>
    <row r="18" ht="15" customHeight="1" s="57">
      <c r="A18" s="93" t="n">
        <v>16</v>
      </c>
      <c r="B18" s="94" t="inlineStr">
        <is>
          <t>ТАВОРСКАЯ МИЛАНА</t>
        </is>
      </c>
      <c r="C18" s="98" t="n">
        <v>10</v>
      </c>
      <c r="D18" s="98" t="n">
        <v>10</v>
      </c>
      <c r="E18" s="98" t="n">
        <v>10</v>
      </c>
      <c r="F18" s="98" t="n">
        <v>10</v>
      </c>
      <c r="G18" s="98" t="n">
        <v>10</v>
      </c>
      <c r="H18" s="98" t="n">
        <v>10</v>
      </c>
      <c r="I18" s="98" t="n">
        <v>10</v>
      </c>
      <c r="J18" s="98" t="n">
        <v>10</v>
      </c>
      <c r="K18" s="98" t="n">
        <v>10</v>
      </c>
      <c r="L18" s="98" t="n">
        <v>10</v>
      </c>
      <c r="M18" s="98" t="n">
        <v>10</v>
      </c>
      <c r="N18" s="100" t="n">
        <v>10</v>
      </c>
      <c r="O18" s="93" t="n"/>
      <c r="P18" s="93" t="n"/>
      <c r="Q18" s="100" t="n">
        <v>10</v>
      </c>
      <c r="R18" s="100" t="n">
        <v>9</v>
      </c>
      <c r="S18" s="101">
        <f>IFERROR(ROUND(AVERAGE(C18:R18),1),"")</f>
        <v/>
      </c>
    </row>
    <row r="19" ht="15" customHeight="1" s="57">
      <c r="A19" s="93" t="n">
        <v>17</v>
      </c>
      <c r="B19" s="94" t="inlineStr">
        <is>
          <t>ТРУБЧАНИНОВА АРИНА</t>
        </is>
      </c>
      <c r="C19" s="97" t="n">
        <v>6</v>
      </c>
      <c r="D19" s="97" t="n">
        <v>6</v>
      </c>
      <c r="E19" s="98" t="n">
        <v>8</v>
      </c>
      <c r="F19" s="93" t="n"/>
      <c r="G19" s="97" t="n">
        <v>6</v>
      </c>
      <c r="H19" s="98" t="n">
        <v>8</v>
      </c>
      <c r="I19" s="97" t="n">
        <v>6</v>
      </c>
      <c r="J19" s="93" t="n"/>
      <c r="K19" s="97" t="n">
        <v>6</v>
      </c>
      <c r="L19" s="98" t="n">
        <v>8</v>
      </c>
      <c r="M19" s="93" t="n"/>
      <c r="N19" s="103" t="n">
        <v>5</v>
      </c>
      <c r="O19" s="103" t="n">
        <v>6</v>
      </c>
      <c r="P19" s="93" t="n"/>
      <c r="Q19" s="103" t="n">
        <v>6</v>
      </c>
      <c r="R19" s="102" t="n"/>
      <c r="S19" s="101">
        <f>IFERROR(ROUND(AVERAGE(C19:R19),1),"")</f>
        <v/>
      </c>
    </row>
    <row r="20" ht="15" customHeight="1" s="57">
      <c r="A20" s="93" t="n">
        <v>18</v>
      </c>
      <c r="B20" s="94" t="inlineStr">
        <is>
          <t>ЧИЧМАРЕНКО ВИКТОР</t>
        </is>
      </c>
      <c r="C20" s="98" t="n">
        <v>10</v>
      </c>
      <c r="D20" s="98" t="n">
        <v>10</v>
      </c>
      <c r="E20" s="98" t="n">
        <v>10</v>
      </c>
      <c r="F20" s="98" t="n">
        <v>10</v>
      </c>
      <c r="G20" s="98" t="n">
        <v>10</v>
      </c>
      <c r="H20" s="98" t="n">
        <v>10</v>
      </c>
      <c r="I20" s="98" t="n">
        <v>10</v>
      </c>
      <c r="J20" s="98" t="n">
        <v>10</v>
      </c>
      <c r="K20" s="98" t="n">
        <v>10</v>
      </c>
      <c r="L20" s="98" t="n">
        <v>10</v>
      </c>
      <c r="M20" s="98" t="n">
        <v>10</v>
      </c>
      <c r="N20" s="98" t="n">
        <v>10</v>
      </c>
      <c r="O20" s="98" t="n">
        <v>10</v>
      </c>
      <c r="P20" s="93" t="n"/>
      <c r="Q20" s="98" t="n">
        <v>10</v>
      </c>
      <c r="R20" s="93" t="n"/>
      <c r="S20" s="101">
        <f>IFERROR(ROUND(AVERAGE(C20:R20),1),"")</f>
        <v/>
      </c>
    </row>
    <row r="21" ht="15" customHeight="1" s="57">
      <c r="A21" s="93" t="n">
        <v>19</v>
      </c>
      <c r="B21" s="94" t="inlineStr">
        <is>
          <t>ШТОПЕЛЬ АНДРЕЙ</t>
        </is>
      </c>
      <c r="C21" s="93" t="n"/>
      <c r="D21" s="97" t="n">
        <v>6</v>
      </c>
      <c r="E21" s="97" t="n">
        <v>6</v>
      </c>
      <c r="F21" s="98" t="n">
        <v>8</v>
      </c>
      <c r="G21" s="97" t="n">
        <v>6</v>
      </c>
      <c r="H21" s="93" t="n"/>
      <c r="I21" s="97" t="n">
        <v>6</v>
      </c>
      <c r="J21" s="97" t="n">
        <v>6</v>
      </c>
      <c r="K21" s="98" t="n">
        <v>8</v>
      </c>
      <c r="L21" s="93" t="n"/>
      <c r="M21" s="97" t="n">
        <v>5</v>
      </c>
      <c r="N21" s="98" t="n">
        <v>7</v>
      </c>
      <c r="O21" s="100" t="n">
        <v>8</v>
      </c>
      <c r="P21" s="93" t="n"/>
      <c r="Q21" s="93" t="n"/>
      <c r="R21" s="100" t="n">
        <v>8</v>
      </c>
      <c r="S21" s="101">
        <f>IFERROR(ROUND(AVERAGE(C21:R21),1),"")</f>
        <v/>
      </c>
    </row>
    <row r="22" ht="15" customHeight="1" s="57">
      <c r="A22" s="93" t="n">
        <v>20</v>
      </c>
      <c r="B22" s="94" t="inlineStr">
        <is>
          <t>ШТОПЕЛЬ ВАЛЕРИЯ</t>
        </is>
      </c>
      <c r="C22" s="98" t="n">
        <v>8</v>
      </c>
      <c r="D22" s="98" t="n">
        <v>8</v>
      </c>
      <c r="E22" s="93" t="n"/>
      <c r="F22" s="98" t="n">
        <v>7</v>
      </c>
      <c r="G22" s="98" t="n">
        <v>8</v>
      </c>
      <c r="H22" s="97" t="n">
        <v>6</v>
      </c>
      <c r="I22" s="98" t="n">
        <v>8</v>
      </c>
      <c r="J22" s="98" t="n">
        <v>9</v>
      </c>
      <c r="K22" s="98" t="n">
        <v>8</v>
      </c>
      <c r="L22" s="98" t="n">
        <v>9</v>
      </c>
      <c r="M22" s="98" t="n">
        <v>8</v>
      </c>
      <c r="N22" s="98" t="n">
        <v>8</v>
      </c>
      <c r="O22" s="93" t="n"/>
      <c r="P22" s="93" t="n"/>
      <c r="Q22" s="100" t="n">
        <v>8</v>
      </c>
      <c r="R22" s="100" t="n">
        <v>8</v>
      </c>
      <c r="S22" s="101">
        <f>IFERROR(ROUND(AVERAGE(C22:R22),1),"")</f>
        <v/>
      </c>
    </row>
  </sheetData>
  <mergeCells count="1">
    <mergeCell ref="A1:S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H14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2" ySplit="2" topLeftCell="Q3" activePane="bottomRight" state="frozen"/>
      <selection pane="topLeft" activeCell="A1" activeCellId="0" sqref="A1"/>
      <selection pane="topRight" activeCell="Q1" activeCellId="0" sqref="Q1"/>
      <selection pane="bottomLeft" activeCell="A3" activeCellId="0" sqref="A3"/>
      <selection pane="bottomRight" activeCell="X18" activeCellId="0" sqref="X18"/>
    </sheetView>
  </sheetViews>
  <sheetFormatPr baseColWidth="8" defaultColWidth="8.6796875" defaultRowHeight="15" customHeight="0" zeroHeight="0" outlineLevelRow="0"/>
  <cols>
    <col width="5" customWidth="1" style="56" min="1" max="1"/>
    <col width="28" customWidth="1" style="56" min="2" max="2"/>
    <col width="9" customWidth="1" style="56" min="3" max="31"/>
    <col width="10" customWidth="1" style="56" min="34" max="34"/>
  </cols>
  <sheetData>
    <row r="1" ht="17.25" customHeight="1" s="57">
      <c r="A1" s="91" t="inlineStr">
        <is>
          <t>10А Алгебра — оценки (на 23.10.2026)</t>
        </is>
      </c>
    </row>
    <row r="2" ht="31.5" customHeight="1" s="57">
      <c r="A2" s="92" t="inlineStr">
        <is>
          <t>№</t>
        </is>
      </c>
      <c r="B2" s="92" t="inlineStr">
        <is>
          <t>ФИО</t>
        </is>
      </c>
      <c r="C2" s="92" t="inlineStr">
        <is>
          <t>02.09.26</t>
        </is>
      </c>
      <c r="D2" s="92" t="inlineStr">
        <is>
          <t>03.09.26</t>
        </is>
      </c>
      <c r="E2" s="92" t="inlineStr">
        <is>
          <t>04.09.26</t>
        </is>
      </c>
      <c r="F2" s="92" t="inlineStr">
        <is>
          <t>07.09.26</t>
        </is>
      </c>
      <c r="G2" s="92" t="inlineStr">
        <is>
          <t>09.09.26</t>
        </is>
      </c>
      <c r="H2" s="92" t="inlineStr">
        <is>
          <t>10.09.26</t>
        </is>
      </c>
      <c r="I2" s="92" t="inlineStr">
        <is>
          <t>11.09.26</t>
        </is>
      </c>
      <c r="J2" s="92" t="inlineStr">
        <is>
          <t>14.09.26</t>
        </is>
      </c>
      <c r="K2" s="92" t="inlineStr">
        <is>
          <t>16.09.26</t>
        </is>
      </c>
      <c r="L2" s="92" t="inlineStr">
        <is>
          <t>17.09.26</t>
        </is>
      </c>
      <c r="M2" s="92" t="inlineStr">
        <is>
          <t>18.09.26</t>
        </is>
      </c>
      <c r="N2" s="92" t="inlineStr">
        <is>
          <t>21.09.26</t>
        </is>
      </c>
      <c r="O2" s="92" t="inlineStr">
        <is>
          <t>23.09.26</t>
        </is>
      </c>
      <c r="P2" s="95" t="inlineStr">
        <is>
          <t>24.09.26
СОР</t>
        </is>
      </c>
      <c r="Q2" s="92" t="inlineStr">
        <is>
          <t>25.09.26</t>
        </is>
      </c>
      <c r="R2" s="92" t="inlineStr">
        <is>
          <t>28.09.26</t>
        </is>
      </c>
      <c r="S2" s="92" t="inlineStr">
        <is>
          <t>30.09.26</t>
        </is>
      </c>
      <c r="T2" s="92" t="inlineStr">
        <is>
          <t>01.10.26</t>
        </is>
      </c>
      <c r="U2" s="92" t="inlineStr">
        <is>
          <t>02.10.26</t>
        </is>
      </c>
      <c r="V2" s="92" t="inlineStr">
        <is>
          <t>05.10.26</t>
        </is>
      </c>
      <c r="W2" s="95" t="inlineStr">
        <is>
          <t>07.10.26
СОР</t>
        </is>
      </c>
      <c r="X2" s="92" t="inlineStr">
        <is>
          <t>08.10.26</t>
        </is>
      </c>
      <c r="Y2" s="92" t="inlineStr">
        <is>
          <t>09.10.26</t>
        </is>
      </c>
      <c r="Z2" s="92" t="inlineStr">
        <is>
          <t>12.10.26</t>
        </is>
      </c>
      <c r="AA2" s="92" t="inlineStr">
        <is>
          <t>14.10.26</t>
        </is>
      </c>
      <c r="AB2" s="95" t="inlineStr">
        <is>
          <t>15.10.26
СОР</t>
        </is>
      </c>
      <c r="AC2" s="96" t="inlineStr">
        <is>
          <t>16.10.26
СОЧ</t>
        </is>
      </c>
      <c r="AD2" s="92" t="inlineStr">
        <is>
          <t>19.10.26</t>
        </is>
      </c>
      <c r="AE2" s="92" t="inlineStr">
        <is>
          <t>21.10.26</t>
        </is>
      </c>
      <c r="AF2" s="92" t="inlineStr">
        <is>
          <t>22.10.26</t>
        </is>
      </c>
      <c r="AG2" s="92" t="inlineStr">
        <is>
          <t>23.10.26</t>
        </is>
      </c>
      <c r="AH2" s="92" t="inlineStr">
        <is>
          <t>Средний</t>
        </is>
      </c>
    </row>
    <row r="3" ht="15" customHeight="1" s="57">
      <c r="A3" s="93" t="n">
        <v>1</v>
      </c>
      <c r="B3" s="94" t="inlineStr">
        <is>
          <t>АЛЕКСАНДРОВА МИЛЕНА</t>
        </is>
      </c>
      <c r="C3" s="98" t="n">
        <v>8</v>
      </c>
      <c r="D3" s="98" t="n">
        <v>9</v>
      </c>
      <c r="E3" s="98" t="n">
        <v>8</v>
      </c>
      <c r="F3" s="98" t="n">
        <v>9</v>
      </c>
      <c r="G3" s="98" t="n">
        <v>10</v>
      </c>
      <c r="H3" s="93" t="n"/>
      <c r="I3" s="98" t="n">
        <v>9</v>
      </c>
      <c r="J3" s="98" t="n">
        <v>9</v>
      </c>
      <c r="K3" s="98" t="n">
        <v>9</v>
      </c>
      <c r="L3" s="93" t="n"/>
      <c r="M3" s="98" t="n">
        <v>8</v>
      </c>
      <c r="N3" s="98" t="n">
        <v>9</v>
      </c>
      <c r="O3" s="98" t="n">
        <v>9</v>
      </c>
      <c r="P3" s="98" t="n">
        <v>9</v>
      </c>
      <c r="Q3" s="93" t="n"/>
      <c r="R3" s="98" t="n">
        <v>9</v>
      </c>
      <c r="S3" s="98" t="n">
        <v>9</v>
      </c>
      <c r="T3" s="98" t="n">
        <v>9</v>
      </c>
      <c r="U3" s="98" t="n">
        <v>9</v>
      </c>
      <c r="V3" s="98" t="n">
        <v>9</v>
      </c>
      <c r="W3" s="98" t="n">
        <v>10</v>
      </c>
      <c r="X3" s="98" t="n">
        <v>9</v>
      </c>
      <c r="Y3" s="93" t="n"/>
      <c r="Z3" s="93" t="n"/>
      <c r="AA3" s="100" t="n">
        <v>9</v>
      </c>
      <c r="AB3" s="93" t="n"/>
      <c r="AC3" s="93" t="n"/>
      <c r="AD3" s="93" t="n">
        <v>9</v>
      </c>
      <c r="AE3" s="100" t="n">
        <v>9</v>
      </c>
      <c r="AF3" s="100" t="n">
        <v>10</v>
      </c>
      <c r="AG3" s="100" t="n">
        <v>9</v>
      </c>
      <c r="AH3" s="101">
        <f>IFERROR(ROUND(AVERAGE(C3:AG3),1),"")</f>
        <v/>
      </c>
    </row>
    <row r="4" ht="15" customHeight="1" s="57">
      <c r="A4" s="93" t="n">
        <v>2</v>
      </c>
      <c r="B4" s="94" t="inlineStr">
        <is>
          <t>ҒОМАР ТАМЕРЛАН</t>
        </is>
      </c>
      <c r="C4" s="93" t="n"/>
      <c r="D4" s="97" t="n">
        <v>6</v>
      </c>
      <c r="E4" s="97" t="n">
        <v>6</v>
      </c>
      <c r="F4" s="93" t="n"/>
      <c r="G4" s="97" t="n">
        <v>6</v>
      </c>
      <c r="H4" s="97" t="n">
        <v>6</v>
      </c>
      <c r="I4" s="93" t="n"/>
      <c r="J4" s="97" t="n">
        <v>6</v>
      </c>
      <c r="K4" s="97" t="n">
        <v>6</v>
      </c>
      <c r="L4" s="93" t="n"/>
      <c r="M4" s="97" t="n">
        <v>6</v>
      </c>
      <c r="N4" s="97" t="n">
        <v>6</v>
      </c>
      <c r="O4" s="93" t="n"/>
      <c r="P4" s="97" t="n">
        <v>6</v>
      </c>
      <c r="Q4" s="97" t="n">
        <v>6</v>
      </c>
      <c r="R4" s="97" t="n">
        <v>6</v>
      </c>
      <c r="S4" s="97" t="n">
        <v>6</v>
      </c>
      <c r="T4" s="93" t="n"/>
      <c r="U4" s="97" t="n">
        <v>6</v>
      </c>
      <c r="V4" s="93" t="n"/>
      <c r="W4" s="93" t="n"/>
      <c r="X4" s="97" t="n">
        <v>6</v>
      </c>
      <c r="Y4" s="97" t="n">
        <v>6</v>
      </c>
      <c r="Z4" s="97" t="n">
        <v>6</v>
      </c>
      <c r="AA4" s="103" t="n">
        <v>6</v>
      </c>
      <c r="AB4" s="103" t="n">
        <v>5</v>
      </c>
      <c r="AC4" s="93" t="n"/>
      <c r="AD4" s="93" t="n"/>
      <c r="AE4" s="93" t="n"/>
      <c r="AF4" s="103" t="n">
        <v>6</v>
      </c>
      <c r="AG4" s="103" t="n">
        <v>5</v>
      </c>
      <c r="AH4" s="101">
        <f>IFERROR(ROUND(AVERAGE(C4:AG4),1),"")</f>
        <v/>
      </c>
    </row>
    <row r="5" ht="15" customHeight="1" s="57">
      <c r="A5" s="93" t="n">
        <v>3</v>
      </c>
      <c r="B5" s="94" t="inlineStr">
        <is>
          <t>ДУКАЧ АННА</t>
        </is>
      </c>
      <c r="C5" s="98" t="n">
        <v>9</v>
      </c>
      <c r="D5" s="93" t="n"/>
      <c r="E5" s="98" t="n">
        <v>8</v>
      </c>
      <c r="F5" s="98" t="n">
        <v>8</v>
      </c>
      <c r="G5" s="98" t="n">
        <v>9</v>
      </c>
      <c r="H5" s="98" t="n">
        <v>8</v>
      </c>
      <c r="I5" s="98" t="n">
        <v>8</v>
      </c>
      <c r="J5" s="93" t="n"/>
      <c r="K5" s="98" t="n">
        <v>8</v>
      </c>
      <c r="L5" s="93" t="n"/>
      <c r="M5" s="98" t="n">
        <v>8</v>
      </c>
      <c r="N5" s="93" t="n"/>
      <c r="O5" s="98" t="n">
        <v>8</v>
      </c>
      <c r="P5" s="93" t="n"/>
      <c r="Q5" s="98" t="n">
        <v>8</v>
      </c>
      <c r="R5" s="98" t="n">
        <v>8</v>
      </c>
      <c r="S5" s="93" t="n"/>
      <c r="T5" s="98" t="n">
        <v>8</v>
      </c>
      <c r="U5" s="98" t="n">
        <v>8</v>
      </c>
      <c r="V5" s="98" t="n">
        <v>7</v>
      </c>
      <c r="W5" s="98" t="n">
        <v>10</v>
      </c>
      <c r="X5" s="98" t="n">
        <v>9</v>
      </c>
      <c r="Y5" s="93" t="n"/>
      <c r="Z5" s="93" t="n"/>
      <c r="AA5" s="100" t="n">
        <v>8</v>
      </c>
      <c r="AB5" s="100" t="n">
        <v>8</v>
      </c>
      <c r="AC5" s="93" t="n"/>
      <c r="AD5" s="100" t="n">
        <v>8</v>
      </c>
      <c r="AE5" s="100" t="n">
        <v>8</v>
      </c>
      <c r="AF5" s="100" t="n">
        <v>8</v>
      </c>
      <c r="AG5" s="100" t="n">
        <v>8</v>
      </c>
      <c r="AH5" s="101">
        <f>IFERROR(ROUND(AVERAGE(C5:AG5),1),"")</f>
        <v/>
      </c>
    </row>
    <row r="6" ht="15" customHeight="1" s="57">
      <c r="A6" s="93" t="n">
        <v>4</v>
      </c>
      <c r="B6" s="94" t="inlineStr">
        <is>
          <t>ИВАЩЕНКО ДАНИИЛ</t>
        </is>
      </c>
      <c r="C6" s="98" t="n">
        <v>10</v>
      </c>
      <c r="D6" s="98" t="n">
        <v>10</v>
      </c>
      <c r="E6" s="98" t="n">
        <v>10</v>
      </c>
      <c r="F6" s="98" t="n">
        <v>10</v>
      </c>
      <c r="G6" s="98" t="n">
        <v>10</v>
      </c>
      <c r="H6" s="98" t="n">
        <v>10</v>
      </c>
      <c r="I6" s="98" t="n">
        <v>10</v>
      </c>
      <c r="J6" s="98" t="n">
        <v>10</v>
      </c>
      <c r="K6" s="98" t="n">
        <v>10</v>
      </c>
      <c r="L6" s="98" t="n">
        <v>10</v>
      </c>
      <c r="M6" s="98" t="n">
        <v>10</v>
      </c>
      <c r="N6" s="93" t="n"/>
      <c r="O6" s="98" t="n">
        <v>10</v>
      </c>
      <c r="P6" s="98" t="n">
        <v>10</v>
      </c>
      <c r="Q6" s="93" t="n"/>
      <c r="R6" s="98" t="n">
        <v>10</v>
      </c>
      <c r="S6" s="98" t="n">
        <v>10</v>
      </c>
      <c r="T6" s="98" t="n">
        <v>10</v>
      </c>
      <c r="U6" s="98" t="n">
        <v>10</v>
      </c>
      <c r="V6" s="98" t="n">
        <v>10</v>
      </c>
      <c r="W6" s="98" t="n">
        <v>10</v>
      </c>
      <c r="X6" s="98" t="n">
        <v>10</v>
      </c>
      <c r="Y6" s="98" t="n">
        <v>10</v>
      </c>
      <c r="Z6" s="98" t="n">
        <v>10</v>
      </c>
      <c r="AA6" s="98" t="n">
        <v>10</v>
      </c>
      <c r="AB6" s="98" t="n">
        <v>10</v>
      </c>
      <c r="AC6" s="93" t="n"/>
      <c r="AD6" s="98" t="n">
        <v>10</v>
      </c>
      <c r="AE6" s="100" t="n">
        <v>9</v>
      </c>
      <c r="AF6" s="100" t="n">
        <v>10</v>
      </c>
      <c r="AG6" s="93" t="n"/>
      <c r="AH6" s="101">
        <f>IFERROR(ROUND(AVERAGE(C6:AG6),1),"")</f>
        <v/>
      </c>
    </row>
    <row r="7" ht="15" customHeight="1" s="57">
      <c r="A7" s="93" t="n">
        <v>5</v>
      </c>
      <c r="B7" s="94" t="inlineStr">
        <is>
          <t>КЛЕВНО КАРИНА</t>
        </is>
      </c>
      <c r="C7" s="93" t="n"/>
      <c r="D7" s="98" t="n">
        <v>8</v>
      </c>
      <c r="E7" s="98" t="n">
        <v>8</v>
      </c>
      <c r="F7" s="98" t="n">
        <v>8</v>
      </c>
      <c r="G7" s="98" t="n">
        <v>8</v>
      </c>
      <c r="H7" s="93" t="n"/>
      <c r="I7" s="98" t="n">
        <v>8</v>
      </c>
      <c r="J7" s="93" t="n"/>
      <c r="K7" s="98" t="n">
        <v>8</v>
      </c>
      <c r="L7" s="98" t="n">
        <v>8</v>
      </c>
      <c r="M7" s="93" t="n"/>
      <c r="N7" s="93" t="n"/>
      <c r="O7" s="98" t="n">
        <v>8</v>
      </c>
      <c r="P7" s="93" t="n"/>
      <c r="Q7" s="98" t="n">
        <v>9</v>
      </c>
      <c r="R7" s="98" t="n">
        <v>8</v>
      </c>
      <c r="S7" s="98" t="n">
        <v>8</v>
      </c>
      <c r="T7" s="98" t="n">
        <v>8</v>
      </c>
      <c r="U7" s="98" t="n">
        <v>8</v>
      </c>
      <c r="V7" s="93" t="n"/>
      <c r="W7" s="93" t="n"/>
      <c r="X7" s="98" t="n">
        <v>8</v>
      </c>
      <c r="Y7" s="93" t="n"/>
      <c r="Z7" s="93" t="n"/>
      <c r="AA7" s="93" t="n"/>
      <c r="AB7" s="100" t="n">
        <v>8</v>
      </c>
      <c r="AC7" s="93" t="n"/>
      <c r="AD7" s="100" t="n">
        <v>8</v>
      </c>
      <c r="AE7" s="100" t="n">
        <v>8</v>
      </c>
      <c r="AF7" s="100" t="n">
        <v>8</v>
      </c>
      <c r="AG7" s="100" t="n">
        <v>8</v>
      </c>
      <c r="AH7" s="101">
        <f>IFERROR(ROUND(AVERAGE(C7:AG7),1),"")</f>
        <v/>
      </c>
    </row>
    <row r="8" ht="15" customHeight="1" s="57">
      <c r="A8" s="93" t="n">
        <v>6</v>
      </c>
      <c r="B8" s="94" t="inlineStr">
        <is>
          <t>КОЗЛОВА КРИСТИНА</t>
        </is>
      </c>
      <c r="C8" s="98" t="n">
        <v>9</v>
      </c>
      <c r="D8" s="98" t="n">
        <v>10</v>
      </c>
      <c r="E8" s="93" t="n"/>
      <c r="F8" s="98" t="n">
        <v>10</v>
      </c>
      <c r="G8" s="98" t="n">
        <v>10</v>
      </c>
      <c r="H8" s="98" t="n">
        <v>10</v>
      </c>
      <c r="I8" s="98" t="n">
        <v>8</v>
      </c>
      <c r="J8" s="93" t="n"/>
      <c r="K8" s="98" t="n">
        <v>10</v>
      </c>
      <c r="L8" s="98" t="n">
        <v>10</v>
      </c>
      <c r="M8" s="98" t="n">
        <v>10</v>
      </c>
      <c r="N8" s="93" t="n"/>
      <c r="O8" s="98" t="n">
        <v>8</v>
      </c>
      <c r="P8" s="98" t="n">
        <v>10</v>
      </c>
      <c r="Q8" s="93" t="n"/>
      <c r="R8" s="98" t="n">
        <v>10</v>
      </c>
      <c r="S8" s="93" t="n"/>
      <c r="T8" s="98" t="n">
        <v>10</v>
      </c>
      <c r="U8" s="98" t="n">
        <v>8</v>
      </c>
      <c r="V8" s="98" t="n">
        <v>9</v>
      </c>
      <c r="W8" s="98" t="n">
        <v>10</v>
      </c>
      <c r="X8" s="93" t="n"/>
      <c r="Y8" s="98" t="n">
        <v>10</v>
      </c>
      <c r="Z8" s="93" t="n"/>
      <c r="AA8" s="93" t="n"/>
      <c r="AB8" s="100" t="n">
        <v>9</v>
      </c>
      <c r="AC8" s="93" t="n"/>
      <c r="AD8" s="93" t="n"/>
      <c r="AE8" s="93" t="n"/>
      <c r="AF8" s="100" t="n">
        <v>10</v>
      </c>
      <c r="AG8" s="100" t="n">
        <v>10</v>
      </c>
      <c r="AH8" s="101">
        <f>IFERROR(ROUND(AVERAGE(C8:AG8),1),"")</f>
        <v/>
      </c>
    </row>
    <row r="9" ht="15" customHeight="1" s="57">
      <c r="A9" s="93" t="n">
        <v>7</v>
      </c>
      <c r="B9" s="94" t="inlineStr">
        <is>
          <t>КУЗНЕЦОВ ИЛЬЯ</t>
        </is>
      </c>
      <c r="C9" s="93" t="n"/>
      <c r="D9" s="97" t="n">
        <v>6</v>
      </c>
      <c r="E9" s="97" t="n">
        <v>6</v>
      </c>
      <c r="F9" s="93" t="n"/>
      <c r="G9" s="93" t="n"/>
      <c r="H9" s="97" t="n">
        <v>6</v>
      </c>
      <c r="I9" s="97" t="n">
        <v>6</v>
      </c>
      <c r="J9" s="97" t="n">
        <v>6</v>
      </c>
      <c r="K9" s="99" t="n">
        <v>4</v>
      </c>
      <c r="L9" s="97" t="n">
        <v>6</v>
      </c>
      <c r="M9" s="93" t="n"/>
      <c r="N9" s="97" t="n">
        <v>6</v>
      </c>
      <c r="O9" s="93" t="n"/>
      <c r="P9" s="93" t="n"/>
      <c r="Q9" s="93" t="n"/>
      <c r="R9" s="97" t="n">
        <v>6</v>
      </c>
      <c r="S9" s="98" t="n">
        <v>8</v>
      </c>
      <c r="T9" s="98" t="n">
        <v>8</v>
      </c>
      <c r="U9" s="97" t="n">
        <v>6</v>
      </c>
      <c r="V9" s="97" t="n">
        <v>6</v>
      </c>
      <c r="W9" s="97" t="n">
        <v>6</v>
      </c>
      <c r="X9" s="97" t="n">
        <v>6</v>
      </c>
      <c r="Y9" s="93" t="n"/>
      <c r="Z9" s="97" t="n">
        <v>5</v>
      </c>
      <c r="AA9" s="103" t="n">
        <v>5</v>
      </c>
      <c r="AB9" s="103" t="n">
        <v>5</v>
      </c>
      <c r="AC9" s="93" t="n"/>
      <c r="AD9" s="103" t="n">
        <v>6</v>
      </c>
      <c r="AE9" s="103" t="n">
        <v>5</v>
      </c>
      <c r="AF9" s="103" t="n">
        <v>6</v>
      </c>
      <c r="AG9" s="103" t="n">
        <v>6</v>
      </c>
      <c r="AH9" s="101">
        <f>IFERROR(ROUND(AVERAGE(C9:AG9),1),"")</f>
        <v/>
      </c>
    </row>
    <row r="10" ht="15" customHeight="1" s="57">
      <c r="A10" s="93" t="n">
        <v>8</v>
      </c>
      <c r="B10" s="94" t="inlineStr">
        <is>
          <t>МАСЛОВ ДМИТРИЙ</t>
        </is>
      </c>
      <c r="C10" s="93" t="n"/>
      <c r="D10" s="97" t="n">
        <v>6</v>
      </c>
      <c r="E10" s="97" t="n">
        <v>6</v>
      </c>
      <c r="F10" s="93" t="n"/>
      <c r="G10" s="97" t="n">
        <v>6</v>
      </c>
      <c r="H10" s="93" t="n"/>
      <c r="I10" s="93" t="n"/>
      <c r="J10" s="97" t="n">
        <v>6</v>
      </c>
      <c r="K10" s="93" t="n"/>
      <c r="L10" s="97" t="n">
        <v>6</v>
      </c>
      <c r="M10" s="97" t="n">
        <v>6</v>
      </c>
      <c r="N10" s="93" t="n"/>
      <c r="O10" s="97" t="n">
        <v>6</v>
      </c>
      <c r="P10" s="93" t="n"/>
      <c r="Q10" s="97" t="n">
        <v>6</v>
      </c>
      <c r="R10" s="93" t="n"/>
      <c r="S10" s="97" t="n">
        <v>6</v>
      </c>
      <c r="T10" s="93" t="n"/>
      <c r="U10" s="97" t="n">
        <v>6</v>
      </c>
      <c r="V10" s="93" t="n"/>
      <c r="W10" s="97" t="n">
        <v>6</v>
      </c>
      <c r="X10" s="93" t="n"/>
      <c r="Y10" s="93" t="n"/>
      <c r="Z10" s="97" t="n">
        <v>6</v>
      </c>
      <c r="AA10" s="103" t="n">
        <v>6</v>
      </c>
      <c r="AB10" s="93" t="n"/>
      <c r="AC10" s="93" t="n"/>
      <c r="AD10" s="103" t="n">
        <v>6</v>
      </c>
      <c r="AE10" s="103" t="n">
        <v>6</v>
      </c>
      <c r="AF10" s="103" t="n">
        <v>5</v>
      </c>
      <c r="AG10" s="102" t="n"/>
      <c r="AH10" s="101">
        <f>IFERROR(ROUND(AVERAGE(C10:AG10),1),"")</f>
        <v/>
      </c>
    </row>
    <row r="11" ht="15" customHeight="1" s="57">
      <c r="A11" s="93" t="n">
        <v>9</v>
      </c>
      <c r="B11" s="94" t="inlineStr">
        <is>
          <t>МИХАЛЬЦОВА ВИКТОРИЯ</t>
        </is>
      </c>
      <c r="C11" s="98" t="n">
        <v>8</v>
      </c>
      <c r="D11" s="97" t="n">
        <v>6</v>
      </c>
      <c r="E11" s="93" t="n"/>
      <c r="F11" s="93" t="n"/>
      <c r="G11" s="97" t="n">
        <v>6</v>
      </c>
      <c r="H11" s="98" t="n">
        <v>7</v>
      </c>
      <c r="I11" s="97" t="n">
        <v>6</v>
      </c>
      <c r="J11" s="97" t="n">
        <v>6</v>
      </c>
      <c r="K11" s="98" t="n">
        <v>10</v>
      </c>
      <c r="L11" s="98" t="n">
        <v>9</v>
      </c>
      <c r="M11" s="97" t="n">
        <v>6</v>
      </c>
      <c r="N11" s="98" t="n">
        <v>7</v>
      </c>
      <c r="O11" s="93" t="n"/>
      <c r="P11" s="93" t="n"/>
      <c r="Q11" s="93" t="n"/>
      <c r="R11" s="97" t="n">
        <v>6</v>
      </c>
      <c r="S11" s="98" t="n">
        <v>7</v>
      </c>
      <c r="T11" s="97" t="n">
        <v>6</v>
      </c>
      <c r="U11" s="98" t="n">
        <v>9</v>
      </c>
      <c r="V11" s="98" t="n">
        <v>7</v>
      </c>
      <c r="W11" s="98" t="n">
        <v>7</v>
      </c>
      <c r="X11" s="97" t="n">
        <v>6</v>
      </c>
      <c r="Y11" s="93" t="n"/>
      <c r="Z11" s="93" t="n"/>
      <c r="AA11" s="93" t="n">
        <v>6</v>
      </c>
      <c r="AB11" s="93" t="n"/>
      <c r="AC11" s="93" t="n"/>
      <c r="AD11" s="103" t="n">
        <v>6</v>
      </c>
      <c r="AE11" s="103" t="n">
        <v>6</v>
      </c>
      <c r="AF11" s="102" t="n"/>
      <c r="AG11" s="103" t="n">
        <v>5</v>
      </c>
      <c r="AH11" s="101">
        <f>IFERROR(ROUND(AVERAGE(C11:AG11),1),"")</f>
        <v/>
      </c>
    </row>
    <row r="12" ht="15" customHeight="1" s="57">
      <c r="A12" s="93" t="n">
        <v>10</v>
      </c>
      <c r="B12" s="94" t="inlineStr">
        <is>
          <t>НИКОЛАЕВ АРТЁМ</t>
        </is>
      </c>
      <c r="C12" s="97" t="n">
        <v>6</v>
      </c>
      <c r="D12" s="93" t="n"/>
      <c r="E12" s="97" t="n">
        <v>6</v>
      </c>
      <c r="F12" s="97" t="n">
        <v>6</v>
      </c>
      <c r="G12" s="93" t="n"/>
      <c r="H12" s="93" t="n"/>
      <c r="I12" s="97" t="n">
        <v>6</v>
      </c>
      <c r="J12" s="93" t="n"/>
      <c r="K12" s="97" t="n">
        <v>6</v>
      </c>
      <c r="L12" s="97" t="n">
        <v>6</v>
      </c>
      <c r="M12" s="93" t="n"/>
      <c r="N12" s="97" t="n">
        <v>6</v>
      </c>
      <c r="O12" s="97" t="n">
        <v>6</v>
      </c>
      <c r="P12" s="97" t="n">
        <v>6</v>
      </c>
      <c r="Q12" s="97" t="n">
        <v>6</v>
      </c>
      <c r="R12" s="97" t="n">
        <v>6</v>
      </c>
      <c r="S12" s="93" t="n"/>
      <c r="T12" s="97" t="n">
        <v>6</v>
      </c>
      <c r="U12" s="93" t="n"/>
      <c r="V12" s="93" t="n"/>
      <c r="W12" s="93" t="n"/>
      <c r="X12" s="97" t="n">
        <v>6</v>
      </c>
      <c r="Y12" s="93" t="n"/>
      <c r="Z12" s="97" t="n">
        <v>5</v>
      </c>
      <c r="AA12" s="103" t="n">
        <v>6</v>
      </c>
      <c r="AB12" s="103" t="n">
        <v>6</v>
      </c>
      <c r="AC12" s="93" t="n"/>
      <c r="AD12" s="103" t="n">
        <v>6</v>
      </c>
      <c r="AE12" s="102" t="n"/>
      <c r="AF12" s="102" t="n"/>
      <c r="AG12" s="103" t="n">
        <v>6</v>
      </c>
      <c r="AH12" s="101">
        <f>IFERROR(ROUND(AVERAGE(C12:AG12),1),"")</f>
        <v/>
      </c>
    </row>
    <row r="13" ht="15" customHeight="1" s="57">
      <c r="A13" s="93" t="n">
        <v>11</v>
      </c>
      <c r="B13" s="94" t="inlineStr">
        <is>
          <t>ОЛЬКОВ ВАСИЛИЙ</t>
        </is>
      </c>
      <c r="C13" s="93" t="n"/>
      <c r="D13" s="93" t="n"/>
      <c r="E13" s="98" t="n">
        <v>8</v>
      </c>
      <c r="F13" s="98" t="n">
        <v>8</v>
      </c>
      <c r="G13" s="98" t="n">
        <v>9</v>
      </c>
      <c r="H13" s="98" t="n">
        <v>8</v>
      </c>
      <c r="I13" s="93" t="n"/>
      <c r="J13" s="98" t="n">
        <v>8</v>
      </c>
      <c r="K13" s="93" t="n"/>
      <c r="L13" s="98" t="n">
        <v>8</v>
      </c>
      <c r="M13" s="98" t="n">
        <v>8</v>
      </c>
      <c r="N13" s="93" t="n"/>
      <c r="O13" s="98" t="n">
        <v>8</v>
      </c>
      <c r="P13" s="93" t="n"/>
      <c r="Q13" s="93" t="n"/>
      <c r="R13" s="98" t="n">
        <v>8</v>
      </c>
      <c r="S13" s="93" t="n"/>
      <c r="T13" s="98" t="n">
        <v>8</v>
      </c>
      <c r="U13" s="98" t="n">
        <v>8</v>
      </c>
      <c r="V13" s="93" t="n"/>
      <c r="W13" s="98" t="n">
        <v>8</v>
      </c>
      <c r="X13" s="98" t="n">
        <v>8</v>
      </c>
      <c r="Y13" s="93" t="n"/>
      <c r="Z13" s="93" t="n"/>
      <c r="AA13" s="100" t="n">
        <v>8</v>
      </c>
      <c r="AB13" s="100" t="n">
        <v>8</v>
      </c>
      <c r="AC13" s="93" t="n"/>
      <c r="AD13" s="100" t="n">
        <v>8</v>
      </c>
      <c r="AE13" s="100" t="n">
        <v>8</v>
      </c>
      <c r="AF13" s="102" t="n"/>
      <c r="AG13" s="100" t="n">
        <v>8</v>
      </c>
      <c r="AH13" s="101">
        <f>IFERROR(ROUND(AVERAGE(C13:AG13),1),"")</f>
        <v/>
      </c>
    </row>
    <row r="14" ht="15" customHeight="1" s="57">
      <c r="A14" s="93" t="n">
        <v>12</v>
      </c>
      <c r="B14" s="94" t="inlineStr">
        <is>
          <t>ТУРГУМБАЕВ САМИР</t>
        </is>
      </c>
      <c r="C14" s="93" t="n"/>
      <c r="D14" s="98" t="n">
        <v>8</v>
      </c>
      <c r="E14" s="98" t="n">
        <v>8</v>
      </c>
      <c r="F14" s="98" t="n">
        <v>8</v>
      </c>
      <c r="G14" s="93" t="n"/>
      <c r="H14" s="98" t="n">
        <v>8</v>
      </c>
      <c r="I14" s="98" t="n">
        <v>8</v>
      </c>
      <c r="J14" s="98" t="n">
        <v>8</v>
      </c>
      <c r="K14" s="98" t="n">
        <v>7</v>
      </c>
      <c r="L14" s="93" t="n"/>
      <c r="M14" s="98" t="n">
        <v>8</v>
      </c>
      <c r="N14" s="98" t="n">
        <v>8</v>
      </c>
      <c r="O14" s="98" t="n">
        <v>9</v>
      </c>
      <c r="P14" s="98" t="n">
        <v>8</v>
      </c>
      <c r="Q14" s="93" t="n"/>
      <c r="R14" s="98" t="n">
        <v>8</v>
      </c>
      <c r="S14" s="93" t="n"/>
      <c r="T14" s="98" t="n">
        <v>8</v>
      </c>
      <c r="U14" s="98" t="n">
        <v>8</v>
      </c>
      <c r="V14" s="93" t="n"/>
      <c r="W14" s="98" t="n">
        <v>8</v>
      </c>
      <c r="X14" s="93" t="n"/>
      <c r="Y14" s="98" t="n">
        <v>8</v>
      </c>
      <c r="Z14" s="93" t="n"/>
      <c r="AA14" s="100" t="n">
        <v>8</v>
      </c>
      <c r="AB14" s="100" t="n">
        <v>8</v>
      </c>
      <c r="AC14" s="93" t="n"/>
      <c r="AD14" s="100" t="n">
        <v>8</v>
      </c>
      <c r="AE14" s="100" t="n">
        <v>8</v>
      </c>
      <c r="AF14" s="100" t="n">
        <v>8</v>
      </c>
      <c r="AG14" s="102" t="n"/>
      <c r="AH14" s="101">
        <f>IFERROR(ROUND(AVERAGE(C14:AG14),1),"")</f>
        <v/>
      </c>
    </row>
  </sheetData>
  <mergeCells count="1">
    <mergeCell ref="A1:A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S14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5" customWidth="1" style="56" min="1" max="1"/>
    <col width="28" customWidth="1" style="56" min="2" max="2"/>
    <col width="9" customWidth="1" style="56" min="3" max="18"/>
    <col width="10" customWidth="1" style="56" min="19" max="19"/>
  </cols>
  <sheetData>
    <row r="1" ht="17.25" customHeight="1" s="57">
      <c r="A1" s="91" t="inlineStr">
        <is>
          <t>10А Геометрия — оценки (на 23.10.2026)</t>
        </is>
      </c>
    </row>
    <row r="2" ht="31.5" customHeight="1" s="57">
      <c r="A2" s="92" t="inlineStr">
        <is>
          <t>№</t>
        </is>
      </c>
      <c r="B2" s="92" t="inlineStr">
        <is>
          <t>ФИО</t>
        </is>
      </c>
      <c r="C2" s="92" t="inlineStr">
        <is>
          <t>01.09.26</t>
        </is>
      </c>
      <c r="D2" s="92" t="inlineStr">
        <is>
          <t>03.09.26</t>
        </is>
      </c>
      <c r="E2" s="92" t="inlineStr">
        <is>
          <t>08.09.26</t>
        </is>
      </c>
      <c r="F2" s="92" t="inlineStr">
        <is>
          <t>10.09.26</t>
        </is>
      </c>
      <c r="G2" s="92" t="inlineStr">
        <is>
          <t>15.09.26</t>
        </is>
      </c>
      <c r="H2" s="92" t="inlineStr">
        <is>
          <t>17.09.26</t>
        </is>
      </c>
      <c r="I2" s="92" t="inlineStr">
        <is>
          <t>22.09.26</t>
        </is>
      </c>
      <c r="J2" s="92" t="inlineStr">
        <is>
          <t>24.09.26</t>
        </is>
      </c>
      <c r="K2" s="92" t="inlineStr">
        <is>
          <t>29.09.26</t>
        </is>
      </c>
      <c r="L2" s="92" t="inlineStr">
        <is>
          <t>01.10.26</t>
        </is>
      </c>
      <c r="M2" s="92" t="inlineStr">
        <is>
          <t>06.10.26</t>
        </is>
      </c>
      <c r="N2" s="92" t="inlineStr">
        <is>
          <t>08.10.26</t>
        </is>
      </c>
      <c r="O2" s="95" t="inlineStr">
        <is>
          <t>13.10.26
СОР</t>
        </is>
      </c>
      <c r="P2" s="96" t="inlineStr">
        <is>
          <t>15.10.26
СОЧ</t>
        </is>
      </c>
      <c r="Q2" s="92" t="inlineStr">
        <is>
          <t>20.10.26</t>
        </is>
      </c>
      <c r="R2" s="92" t="inlineStr">
        <is>
          <t>22.10.26</t>
        </is>
      </c>
      <c r="S2" s="92" t="inlineStr">
        <is>
          <t>Средний</t>
        </is>
      </c>
    </row>
    <row r="3" ht="15" customHeight="1" s="57">
      <c r="A3" s="93" t="n">
        <v>1</v>
      </c>
      <c r="B3" s="94" t="inlineStr">
        <is>
          <t>АЛЕКСАНДРОВА МИЛЕНА</t>
        </is>
      </c>
      <c r="C3" s="98" t="n">
        <v>8</v>
      </c>
      <c r="D3" s="98" t="n">
        <v>9</v>
      </c>
      <c r="E3" s="98" t="n">
        <v>10</v>
      </c>
      <c r="F3" s="98" t="n">
        <v>9</v>
      </c>
      <c r="G3" s="98" t="n">
        <v>9</v>
      </c>
      <c r="H3" s="93" t="n"/>
      <c r="I3" s="98" t="n">
        <v>8</v>
      </c>
      <c r="J3" s="98" t="n">
        <v>9</v>
      </c>
      <c r="K3" s="98" t="n">
        <v>10</v>
      </c>
      <c r="L3" s="98" t="n">
        <v>9</v>
      </c>
      <c r="M3" s="98" t="n">
        <v>9</v>
      </c>
      <c r="N3" s="98" t="n">
        <v>10</v>
      </c>
      <c r="O3" s="98" t="n">
        <v>9</v>
      </c>
      <c r="P3" s="93" t="n"/>
      <c r="Q3" s="93" t="n"/>
      <c r="R3" s="100" t="n">
        <v>9</v>
      </c>
      <c r="S3" s="101">
        <f>IFERROR(ROUND(AVERAGE(C3:R3),1),"")</f>
        <v/>
      </c>
    </row>
    <row r="4" ht="15" customHeight="1" s="57">
      <c r="A4" s="93" t="n">
        <v>2</v>
      </c>
      <c r="B4" s="94" t="inlineStr">
        <is>
          <t>ҒОМАР ТАМЕРЛАН</t>
        </is>
      </c>
      <c r="C4" s="97" t="n">
        <v>6</v>
      </c>
      <c r="D4" s="93" t="n"/>
      <c r="E4" s="97" t="n">
        <v>6</v>
      </c>
      <c r="F4" s="97" t="n">
        <v>6</v>
      </c>
      <c r="G4" s="93" t="n"/>
      <c r="H4" s="93" t="n"/>
      <c r="I4" s="97" t="n">
        <v>6</v>
      </c>
      <c r="J4" s="97" t="n">
        <v>6</v>
      </c>
      <c r="K4" s="93" t="n"/>
      <c r="L4" s="97" t="n">
        <v>6</v>
      </c>
      <c r="M4" s="97" t="n">
        <v>6</v>
      </c>
      <c r="N4" s="93" t="n"/>
      <c r="O4" s="97" t="n">
        <v>6</v>
      </c>
      <c r="P4" s="93" t="n"/>
      <c r="Q4" s="103" t="n">
        <v>6</v>
      </c>
      <c r="R4" s="103" t="n">
        <v>5</v>
      </c>
      <c r="S4" s="101">
        <f>IFERROR(ROUND(AVERAGE(C4:R4),1),"")</f>
        <v/>
      </c>
    </row>
    <row r="5" ht="15" customHeight="1" s="57">
      <c r="A5" s="93" t="n">
        <v>3</v>
      </c>
      <c r="B5" s="94" t="inlineStr">
        <is>
          <t>ДУКАЧ АННА</t>
        </is>
      </c>
      <c r="C5" s="98" t="n">
        <v>9</v>
      </c>
      <c r="D5" s="98" t="n">
        <v>8</v>
      </c>
      <c r="E5" s="98" t="n">
        <v>9</v>
      </c>
      <c r="F5" s="93" t="n"/>
      <c r="G5" s="93" t="n"/>
      <c r="H5" s="98" t="n">
        <v>8</v>
      </c>
      <c r="I5" s="98" t="n">
        <v>9</v>
      </c>
      <c r="J5" s="98" t="n">
        <v>8</v>
      </c>
      <c r="K5" s="98" t="n">
        <v>8</v>
      </c>
      <c r="L5" s="98" t="n">
        <v>9</v>
      </c>
      <c r="M5" s="93" t="n"/>
      <c r="N5" s="98" t="n">
        <v>9</v>
      </c>
      <c r="O5" s="93" t="n"/>
      <c r="P5" s="93" t="n"/>
      <c r="Q5" s="100" t="n">
        <v>8</v>
      </c>
      <c r="R5" s="100" t="n">
        <v>8</v>
      </c>
      <c r="S5" s="101">
        <f>IFERROR(ROUND(AVERAGE(C5:R5),1),"")</f>
        <v/>
      </c>
    </row>
    <row r="6" ht="15" customHeight="1" s="57">
      <c r="A6" s="93" t="n">
        <v>4</v>
      </c>
      <c r="B6" s="94" t="inlineStr">
        <is>
          <t>ИВАЩЕНКО ДАНИИЛ</t>
        </is>
      </c>
      <c r="C6" s="98" t="n">
        <v>10</v>
      </c>
      <c r="D6" s="98" t="n">
        <v>10</v>
      </c>
      <c r="E6" s="98" t="n">
        <v>10</v>
      </c>
      <c r="F6" s="98" t="n">
        <v>10</v>
      </c>
      <c r="G6" s="98" t="n">
        <v>10</v>
      </c>
      <c r="H6" s="98" t="n">
        <v>10</v>
      </c>
      <c r="I6" s="98" t="n">
        <v>10</v>
      </c>
      <c r="J6" s="98" t="n">
        <v>10</v>
      </c>
      <c r="K6" s="93" t="n"/>
      <c r="L6" s="98" t="n">
        <v>10</v>
      </c>
      <c r="M6" s="93" t="n"/>
      <c r="N6" s="98" t="n">
        <v>10</v>
      </c>
      <c r="O6" s="98" t="n">
        <v>10</v>
      </c>
      <c r="P6" s="93" t="n"/>
      <c r="Q6" s="98" t="n">
        <v>10</v>
      </c>
      <c r="R6" s="93" t="n"/>
      <c r="S6" s="101">
        <f>IFERROR(ROUND(AVERAGE(C6:R6),1),"")</f>
        <v/>
      </c>
    </row>
    <row r="7" ht="15" customHeight="1" s="57">
      <c r="A7" s="93" t="n">
        <v>5</v>
      </c>
      <c r="B7" s="94" t="inlineStr">
        <is>
          <t>КЛЕВНО КАРИНА</t>
        </is>
      </c>
      <c r="C7" s="98" t="n">
        <v>8</v>
      </c>
      <c r="D7" s="98" t="n">
        <v>10</v>
      </c>
      <c r="E7" s="98" t="n">
        <v>9</v>
      </c>
      <c r="F7" s="98" t="n">
        <v>10</v>
      </c>
      <c r="G7" s="98" t="n">
        <v>8</v>
      </c>
      <c r="H7" s="98" t="n">
        <v>8</v>
      </c>
      <c r="I7" s="98" t="n">
        <v>9</v>
      </c>
      <c r="J7" s="98" t="n">
        <v>9</v>
      </c>
      <c r="K7" s="98" t="n">
        <v>8</v>
      </c>
      <c r="L7" s="98" t="n">
        <v>10</v>
      </c>
      <c r="M7" s="93" t="n"/>
      <c r="N7" s="98" t="n">
        <v>9</v>
      </c>
      <c r="O7" s="98" t="n">
        <v>9</v>
      </c>
      <c r="P7" s="93" t="n"/>
      <c r="Q7" s="100" t="n">
        <v>8</v>
      </c>
      <c r="R7" s="100" t="n">
        <v>8</v>
      </c>
      <c r="S7" s="101">
        <f>IFERROR(ROUND(AVERAGE(C7:R7),1),"")</f>
        <v/>
      </c>
    </row>
    <row r="8" ht="15" customHeight="1" s="57">
      <c r="A8" s="93" t="n">
        <v>6</v>
      </c>
      <c r="B8" s="94" t="inlineStr">
        <is>
          <t>КОЗЛОВА КРИСТИНА</t>
        </is>
      </c>
      <c r="C8" s="98" t="n">
        <v>9</v>
      </c>
      <c r="D8" s="98" t="n">
        <v>9</v>
      </c>
      <c r="E8" s="98" t="n">
        <v>9</v>
      </c>
      <c r="F8" s="98" t="n">
        <v>10</v>
      </c>
      <c r="G8" s="93" t="n"/>
      <c r="H8" s="98" t="n">
        <v>9</v>
      </c>
      <c r="I8" s="98" t="n">
        <v>10</v>
      </c>
      <c r="J8" s="93" t="n"/>
      <c r="K8" s="98" t="n">
        <v>10</v>
      </c>
      <c r="L8" s="98" t="n">
        <v>9</v>
      </c>
      <c r="M8" s="98" t="n">
        <v>10</v>
      </c>
      <c r="N8" s="93" t="n"/>
      <c r="O8" s="98" t="n">
        <v>9</v>
      </c>
      <c r="P8" s="93" t="n"/>
      <c r="Q8" s="100" t="n">
        <v>10</v>
      </c>
      <c r="R8" s="100" t="n">
        <v>9</v>
      </c>
      <c r="S8" s="101">
        <f>IFERROR(ROUND(AVERAGE(C8:R8),1),"")</f>
        <v/>
      </c>
    </row>
    <row r="9" ht="15" customHeight="1" s="57">
      <c r="A9" s="93" t="n">
        <v>7</v>
      </c>
      <c r="B9" s="94" t="inlineStr">
        <is>
          <t>КУЗНЕЦОВ ИЛЬЯ</t>
        </is>
      </c>
      <c r="C9" s="98" t="n">
        <v>7</v>
      </c>
      <c r="D9" s="93" t="n"/>
      <c r="E9" s="97" t="n">
        <v>6</v>
      </c>
      <c r="F9" s="97" t="n">
        <v>6</v>
      </c>
      <c r="G9" s="93" t="n"/>
      <c r="H9" s="99" t="n">
        <v>4</v>
      </c>
      <c r="I9" s="97" t="n">
        <v>6</v>
      </c>
      <c r="J9" s="98" t="n">
        <v>7</v>
      </c>
      <c r="K9" s="97" t="n">
        <v>6</v>
      </c>
      <c r="L9" s="98" t="n">
        <v>7</v>
      </c>
      <c r="M9" s="93" t="n"/>
      <c r="N9" s="97" t="n">
        <v>6</v>
      </c>
      <c r="O9" s="97" t="n">
        <v>6</v>
      </c>
      <c r="P9" s="93" t="n"/>
      <c r="Q9" s="103" t="n">
        <v>6</v>
      </c>
      <c r="R9" s="102" t="n"/>
      <c r="S9" s="101">
        <f>IFERROR(ROUND(AVERAGE(C9:R9),1),"")</f>
        <v/>
      </c>
    </row>
    <row r="10" ht="15" customHeight="1" s="57">
      <c r="A10" s="93" t="n">
        <v>8</v>
      </c>
      <c r="B10" s="94" t="inlineStr">
        <is>
          <t>МАСЛОВ ДМИТРИЙ</t>
        </is>
      </c>
      <c r="C10" s="97" t="n">
        <v>6</v>
      </c>
      <c r="D10" s="93" t="n"/>
      <c r="E10" s="97" t="n">
        <v>6</v>
      </c>
      <c r="F10" s="93" t="n"/>
      <c r="G10" s="97" t="n">
        <v>6</v>
      </c>
      <c r="H10" s="97" t="n">
        <v>6</v>
      </c>
      <c r="I10" s="97" t="n">
        <v>6</v>
      </c>
      <c r="J10" s="93" t="n"/>
      <c r="K10" s="97" t="n">
        <v>6</v>
      </c>
      <c r="L10" s="97" t="n">
        <v>6</v>
      </c>
      <c r="M10" s="97" t="n">
        <v>6</v>
      </c>
      <c r="N10" s="93" t="n"/>
      <c r="O10" s="93" t="n"/>
      <c r="P10" s="93" t="n"/>
      <c r="Q10" s="103" t="n">
        <v>6</v>
      </c>
      <c r="R10" s="103" t="n">
        <v>6</v>
      </c>
      <c r="S10" s="101">
        <f>IFERROR(ROUND(AVERAGE(C10:R10),1),"")</f>
        <v/>
      </c>
    </row>
    <row r="11" ht="15" customHeight="1" s="57">
      <c r="A11" s="93" t="n">
        <v>9</v>
      </c>
      <c r="B11" s="94" t="inlineStr">
        <is>
          <t>МИХАЛЬЦОВА ВИКТОРИЯ</t>
        </is>
      </c>
      <c r="C11" s="93" t="n"/>
      <c r="D11" s="97" t="n">
        <v>6</v>
      </c>
      <c r="E11" s="98" t="n">
        <v>7</v>
      </c>
      <c r="F11" s="97" t="n">
        <v>6</v>
      </c>
      <c r="G11" s="93" t="n"/>
      <c r="H11" s="98" t="n">
        <v>7</v>
      </c>
      <c r="I11" s="97" t="n">
        <v>6</v>
      </c>
      <c r="J11" s="98" t="n">
        <v>8</v>
      </c>
      <c r="K11" s="93" t="n"/>
      <c r="L11" s="97" t="n">
        <v>6</v>
      </c>
      <c r="M11" s="93" t="n"/>
      <c r="N11" s="97" t="n">
        <v>6</v>
      </c>
      <c r="O11" s="93" t="n"/>
      <c r="P11" s="93" t="n"/>
      <c r="Q11" s="103" t="n">
        <v>6</v>
      </c>
      <c r="R11" s="103" t="n">
        <v>6</v>
      </c>
      <c r="S11" s="101">
        <f>IFERROR(ROUND(AVERAGE(C11:R11),1),"")</f>
        <v/>
      </c>
    </row>
    <row r="12" ht="15" customHeight="1" s="57">
      <c r="A12" s="93" t="n">
        <v>10</v>
      </c>
      <c r="B12" s="94" t="inlineStr">
        <is>
          <t>НИКОЛАЕВ АРТЁМ</t>
        </is>
      </c>
      <c r="C12" s="93" t="n"/>
      <c r="D12" s="97" t="n">
        <v>6</v>
      </c>
      <c r="E12" s="93" t="n"/>
      <c r="F12" s="93" t="n"/>
      <c r="G12" s="97" t="n">
        <v>6</v>
      </c>
      <c r="H12" s="93" t="n"/>
      <c r="I12" s="97" t="n">
        <v>6</v>
      </c>
      <c r="J12" s="93" t="n"/>
      <c r="K12" s="93" t="n"/>
      <c r="L12" s="97" t="n">
        <v>6</v>
      </c>
      <c r="M12" s="93" t="n"/>
      <c r="N12" s="97" t="n">
        <v>6</v>
      </c>
      <c r="O12" s="97" t="n">
        <v>6</v>
      </c>
      <c r="P12" s="93" t="n"/>
      <c r="Q12" s="93" t="n"/>
      <c r="R12" s="93" t="n"/>
      <c r="S12" s="101">
        <f>IFERROR(ROUND(AVERAGE(C12:R12),1),"")</f>
        <v/>
      </c>
    </row>
    <row r="13" ht="15" customHeight="1" s="57">
      <c r="A13" s="93" t="n">
        <v>11</v>
      </c>
      <c r="B13" s="94" t="inlineStr">
        <is>
          <t>ОЛЬКОВ ВАСИЛИЙ</t>
        </is>
      </c>
      <c r="C13" s="98" t="n">
        <v>8</v>
      </c>
      <c r="D13" s="98" t="n">
        <v>9</v>
      </c>
      <c r="E13" s="98" t="n">
        <v>8</v>
      </c>
      <c r="F13" s="98" t="n">
        <v>8</v>
      </c>
      <c r="G13" s="93" t="n"/>
      <c r="H13" s="98" t="n">
        <v>8</v>
      </c>
      <c r="I13" s="93" t="n"/>
      <c r="J13" s="93" t="n"/>
      <c r="K13" s="98" t="n">
        <v>9</v>
      </c>
      <c r="L13" s="98" t="n">
        <v>8</v>
      </c>
      <c r="M13" s="98" t="n">
        <v>9</v>
      </c>
      <c r="N13" s="93" t="n"/>
      <c r="O13" s="93" t="n"/>
      <c r="P13" s="93" t="n"/>
      <c r="Q13" s="100" t="n">
        <v>8</v>
      </c>
      <c r="R13" s="100" t="n">
        <v>8</v>
      </c>
      <c r="S13" s="101">
        <f>IFERROR(ROUND(AVERAGE(C13:R13),1),"")</f>
        <v/>
      </c>
    </row>
    <row r="14" ht="15" customHeight="1" s="57">
      <c r="A14" s="93" t="n">
        <v>12</v>
      </c>
      <c r="B14" s="94" t="inlineStr">
        <is>
          <t>ТУРГУМБАЕВ САМИР</t>
        </is>
      </c>
      <c r="C14" s="98" t="n">
        <v>8</v>
      </c>
      <c r="D14" s="98" t="n">
        <v>8</v>
      </c>
      <c r="E14" s="93" t="n"/>
      <c r="F14" s="98" t="n">
        <v>8</v>
      </c>
      <c r="G14" s="98" t="n">
        <v>8</v>
      </c>
      <c r="H14" s="93" t="n"/>
      <c r="I14" s="98" t="n">
        <v>8</v>
      </c>
      <c r="J14" s="98" t="n">
        <v>9</v>
      </c>
      <c r="K14" s="98" t="n">
        <v>7</v>
      </c>
      <c r="L14" s="98" t="n">
        <v>9</v>
      </c>
      <c r="M14" s="93" t="n"/>
      <c r="N14" s="98" t="n">
        <v>8</v>
      </c>
      <c r="O14" s="98" t="n">
        <v>8</v>
      </c>
      <c r="P14" s="93" t="n"/>
      <c r="Q14" s="93" t="n"/>
      <c r="R14" s="100" t="n">
        <v>8</v>
      </c>
      <c r="S14" s="101">
        <f>IFERROR(ROUND(AVERAGE(C14:R14),1),"")</f>
        <v/>
      </c>
    </row>
  </sheetData>
  <mergeCells count="1">
    <mergeCell ref="A1:S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J22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5" customWidth="1" style="56" min="1" max="1"/>
    <col width="28" customWidth="1" style="56" min="2" max="2"/>
    <col width="9" customWidth="1" style="56" min="3" max="3"/>
    <col width="7" customWidth="1" style="56" min="4" max="4"/>
    <col width="9" customWidth="1" style="56" min="5" max="5"/>
    <col width="7" customWidth="1" style="56" min="6" max="6"/>
    <col width="9" customWidth="1" style="56" min="7" max="7"/>
    <col width="7" customWidth="1" style="56" min="8" max="8"/>
    <col width="9" customWidth="1" style="56" min="9" max="9"/>
    <col width="7" customWidth="1" style="56" min="10" max="10"/>
  </cols>
  <sheetData>
    <row r="1" ht="17.25" customHeight="1" s="57">
      <c r="A1" s="58" t="inlineStr">
        <is>
          <t>8А — СОР и СОЧ, 1 четверть (баллы из тетради)</t>
        </is>
      </c>
    </row>
    <row r="2" ht="31.5" customHeight="1" s="57">
      <c r="A2" s="63" t="inlineStr">
        <is>
          <t>№</t>
        </is>
      </c>
      <c r="B2" s="63" t="inlineStr">
        <is>
          <t>ФИО</t>
        </is>
      </c>
      <c r="C2" s="64" t="inlineStr">
        <is>
          <t>Алгебра СОР №1
(макс. 16)</t>
        </is>
      </c>
      <c r="D2" s="66" t="n"/>
      <c r="E2" s="64" t="inlineStr">
        <is>
          <t>Алгебра СОЧ
(макс. 20)</t>
        </is>
      </c>
      <c r="F2" s="66" t="n"/>
      <c r="G2" s="67" t="inlineStr">
        <is>
          <t>Геометрия СОР №1
(макс. 15)</t>
        </is>
      </c>
      <c r="H2" s="66" t="n"/>
      <c r="I2" s="67" t="inlineStr">
        <is>
          <t>Геометрия СОЧ
(макс. 20)</t>
        </is>
      </c>
      <c r="J2" s="66" t="n"/>
    </row>
    <row r="3" ht="15" customHeight="1" s="57">
      <c r="A3" s="68" t="n"/>
      <c r="B3" s="68" t="n"/>
      <c r="C3" s="64" t="inlineStr">
        <is>
          <t>Балл</t>
        </is>
      </c>
      <c r="D3" s="64" t="inlineStr">
        <is>
          <t>%</t>
        </is>
      </c>
      <c r="E3" s="64" t="inlineStr">
        <is>
          <t>Балл</t>
        </is>
      </c>
      <c r="F3" s="64" t="inlineStr">
        <is>
          <t>%</t>
        </is>
      </c>
      <c r="G3" s="67" t="inlineStr">
        <is>
          <t>Балл</t>
        </is>
      </c>
      <c r="H3" s="67" t="inlineStr">
        <is>
          <t>%</t>
        </is>
      </c>
      <c r="I3" s="67" t="inlineStr">
        <is>
          <t>Балл</t>
        </is>
      </c>
      <c r="J3" s="67" t="inlineStr">
        <is>
          <t>%</t>
        </is>
      </c>
    </row>
    <row r="4" ht="15" customHeight="1" s="57">
      <c r="A4" s="69" t="n">
        <v>1</v>
      </c>
      <c r="B4" s="70" t="inlineStr">
        <is>
          <t>Абельдинова Жасмин</t>
        </is>
      </c>
      <c r="C4" s="69" t="n">
        <v>14</v>
      </c>
      <c r="D4" s="71">
        <f>IF(C4="","",C4/C$19)</f>
        <v/>
      </c>
      <c r="E4" s="69" t="n">
        <v>14</v>
      </c>
      <c r="F4" s="71">
        <f>IF(E4="","",E4/E$19)</f>
        <v/>
      </c>
      <c r="G4" s="69" t="n">
        <v>13</v>
      </c>
      <c r="H4" s="71">
        <f>IF(G4="","",G4/G$19)</f>
        <v/>
      </c>
      <c r="I4" s="69" t="n">
        <v>14</v>
      </c>
      <c r="J4" s="71">
        <f>IF(I4="","",I4/I$19)</f>
        <v/>
      </c>
    </row>
    <row r="5" ht="15" customHeight="1" s="57">
      <c r="A5" s="69" t="n">
        <v>2</v>
      </c>
      <c r="B5" s="70" t="inlineStr">
        <is>
          <t>БЕРДНИКОВА ЕВГЕНИЯ</t>
        </is>
      </c>
      <c r="C5" s="69" t="n">
        <v>14</v>
      </c>
      <c r="D5" s="71">
        <f>IF(C5="","",C5/C$19)</f>
        <v/>
      </c>
      <c r="E5" s="69" t="n">
        <v>15</v>
      </c>
      <c r="F5" s="71">
        <f>IF(E5="","",E5/E$19)</f>
        <v/>
      </c>
      <c r="G5" s="69" t="n">
        <v>11</v>
      </c>
      <c r="H5" s="71">
        <f>IF(G5="","",G5/G$19)</f>
        <v/>
      </c>
      <c r="I5" s="69" t="n">
        <v>14</v>
      </c>
      <c r="J5" s="71">
        <f>IF(I5="","",I5/I$19)</f>
        <v/>
      </c>
    </row>
    <row r="6" ht="15" customHeight="1" s="57">
      <c r="A6" s="69" t="n">
        <v>3</v>
      </c>
      <c r="B6" s="70" t="inlineStr">
        <is>
          <t>БЕРДНИКОВА ДАРЬЯ</t>
        </is>
      </c>
      <c r="C6" s="69" t="n">
        <v>13</v>
      </c>
      <c r="D6" s="71">
        <f>IF(C6="","",C6/C$19)</f>
        <v/>
      </c>
      <c r="E6" s="69" t="n">
        <v>14</v>
      </c>
      <c r="F6" s="71">
        <f>IF(E6="","",E6/E$19)</f>
        <v/>
      </c>
      <c r="G6" s="69" t="n">
        <v>11</v>
      </c>
      <c r="H6" s="71">
        <f>IF(G6="","",G6/G$19)</f>
        <v/>
      </c>
      <c r="I6" s="69" t="n">
        <v>14</v>
      </c>
      <c r="J6" s="71">
        <f>IF(I6="","",I6/I$19)</f>
        <v/>
      </c>
    </row>
    <row r="7" ht="15" customHeight="1" s="57">
      <c r="A7" s="69" t="n">
        <v>4</v>
      </c>
      <c r="B7" s="70" t="inlineStr">
        <is>
          <t>БУЧКОВА МИЛАНА</t>
        </is>
      </c>
      <c r="C7" s="69" t="n">
        <v>15</v>
      </c>
      <c r="D7" s="71">
        <f>IF(C7="","",C7/C$19)</f>
        <v/>
      </c>
      <c r="E7" s="69" t="n">
        <v>17</v>
      </c>
      <c r="F7" s="71">
        <f>IF(E7="","",E7/E$19)</f>
        <v/>
      </c>
      <c r="G7" s="69" t="n">
        <v>13</v>
      </c>
      <c r="H7" s="71">
        <f>IF(G7="","",G7/G$19)</f>
        <v/>
      </c>
      <c r="I7" s="69" t="n">
        <v>15</v>
      </c>
      <c r="J7" s="71">
        <f>IF(I7="","",I7/I$19)</f>
        <v/>
      </c>
    </row>
    <row r="8" ht="15" customHeight="1" s="57">
      <c r="A8" s="69" t="n">
        <v>5</v>
      </c>
      <c r="B8" s="70" t="inlineStr">
        <is>
          <t>ВАСИЛЬКОВСКИЙ ДАНИЛ</t>
        </is>
      </c>
      <c r="C8" s="69" t="n">
        <v>11</v>
      </c>
      <c r="D8" s="71">
        <f>IF(C8="","",C8/C$19)</f>
        <v/>
      </c>
      <c r="E8" s="69" t="n">
        <v>15</v>
      </c>
      <c r="F8" s="71">
        <f>IF(E8="","",E8/E$19)</f>
        <v/>
      </c>
      <c r="G8" s="69" t="n">
        <v>13</v>
      </c>
      <c r="H8" s="71">
        <f>IF(G8="","",G8/G$19)</f>
        <v/>
      </c>
      <c r="I8" s="69" t="n">
        <v>15</v>
      </c>
      <c r="J8" s="71">
        <f>IF(I8="","",I8/I$19)</f>
        <v/>
      </c>
    </row>
    <row r="9" ht="15" customHeight="1" s="57">
      <c r="A9" s="69" t="n">
        <v>6</v>
      </c>
      <c r="B9" s="70" t="inlineStr">
        <is>
          <t>ГАЛИПАД ДАНИЛ</t>
        </is>
      </c>
      <c r="C9" s="69" t="n">
        <v>8</v>
      </c>
      <c r="D9" s="71">
        <f>IF(C9="","",C9/C$19)</f>
        <v/>
      </c>
      <c r="E9" s="69" t="n">
        <v>8</v>
      </c>
      <c r="F9" s="71">
        <f>IF(E9="","",E9/E$19)</f>
        <v/>
      </c>
      <c r="G9" s="69" t="n">
        <v>8</v>
      </c>
      <c r="H9" s="71">
        <f>IF(G9="","",G9/G$19)</f>
        <v/>
      </c>
      <c r="I9" s="69" t="n">
        <v>9</v>
      </c>
      <c r="J9" s="71">
        <f>IF(I9="","",I9/I$19)</f>
        <v/>
      </c>
    </row>
    <row r="10" ht="15" customHeight="1" s="57">
      <c r="A10" s="69" t="n">
        <v>7</v>
      </c>
      <c r="B10" s="70" t="inlineStr">
        <is>
          <t>КИСМЕТЬЕВ ИСЛАМ</t>
        </is>
      </c>
      <c r="C10" s="69" t="n">
        <v>8</v>
      </c>
      <c r="D10" s="71">
        <f>IF(C10="","",C10/C$19)</f>
        <v/>
      </c>
      <c r="E10" s="104" t="n">
        <v>9</v>
      </c>
      <c r="F10" s="71">
        <f>IF(E10="","",E10/E$19)</f>
        <v/>
      </c>
      <c r="G10" s="69" t="n">
        <v>9</v>
      </c>
      <c r="H10" s="71">
        <f>IF(G10="","",G10/G$19)</f>
        <v/>
      </c>
      <c r="I10" s="69" t="n">
        <v>8</v>
      </c>
      <c r="J10" s="71">
        <f>IF(I10="","",I10/I$19)</f>
        <v/>
      </c>
    </row>
    <row r="11" ht="15" customHeight="1" s="57">
      <c r="A11" s="69" t="n">
        <v>8</v>
      </c>
      <c r="B11" s="70" t="inlineStr">
        <is>
          <t>КОХ КОНДРАТ</t>
        </is>
      </c>
      <c r="C11" s="69" t="n">
        <v>11</v>
      </c>
      <c r="D11" s="71">
        <f>IF(C11="","",C11/C$19)</f>
        <v/>
      </c>
      <c r="E11" s="69" t="n">
        <v>15</v>
      </c>
      <c r="F11" s="71">
        <f>IF(E11="","",E11/E$19)</f>
        <v/>
      </c>
      <c r="G11" s="69" t="n">
        <v>12</v>
      </c>
      <c r="H11" s="71">
        <f>IF(G11="","",G11/G$19)</f>
        <v/>
      </c>
      <c r="I11" s="69" t="n">
        <v>16</v>
      </c>
      <c r="J11" s="71">
        <f>IF(I11="","",I11/I$19)</f>
        <v/>
      </c>
    </row>
    <row r="12" ht="15" customHeight="1" s="57">
      <c r="A12" s="69" t="n">
        <v>9</v>
      </c>
      <c r="B12" s="70" t="inlineStr">
        <is>
          <t>КУЗНЕЦОВ РОМАН</t>
        </is>
      </c>
      <c r="C12" s="69" t="n">
        <v>14</v>
      </c>
      <c r="D12" s="71">
        <f>IF(C12="","",C12/C$19)</f>
        <v/>
      </c>
      <c r="E12" s="69" t="n">
        <v>13</v>
      </c>
      <c r="F12" s="71">
        <f>IF(E12="","",E12/E$19)</f>
        <v/>
      </c>
      <c r="G12" s="69" t="n">
        <v>12</v>
      </c>
      <c r="H12" s="71">
        <f>IF(G12="","",G12/G$19)</f>
        <v/>
      </c>
      <c r="I12" s="69" t="n">
        <v>15</v>
      </c>
      <c r="J12" s="71">
        <f>IF(I12="","",I12/I$19)</f>
        <v/>
      </c>
    </row>
    <row r="13" ht="15" customHeight="1" s="57">
      <c r="A13" s="69" t="n">
        <v>10</v>
      </c>
      <c r="B13" s="70" t="inlineStr">
        <is>
          <t>ПАЗНИКОВА ДАНАЯ</t>
        </is>
      </c>
      <c r="C13" s="69" t="n">
        <v>14</v>
      </c>
      <c r="D13" s="71">
        <f>IF(C13="","",C13/C$19)</f>
        <v/>
      </c>
      <c r="E13" s="69" t="n">
        <v>19</v>
      </c>
      <c r="F13" s="71">
        <f>IF(E13="","",E13/E$19)</f>
        <v/>
      </c>
      <c r="G13" s="69" t="n">
        <v>14</v>
      </c>
      <c r="H13" s="71">
        <f>IF(G13="","",G13/G$19)</f>
        <v/>
      </c>
      <c r="I13" s="69" t="n">
        <v>19</v>
      </c>
      <c r="J13" s="71">
        <f>IF(I13="","",I13/I$19)</f>
        <v/>
      </c>
    </row>
    <row r="14" ht="15" customHeight="1" s="57">
      <c r="A14" s="69" t="n">
        <v>11</v>
      </c>
      <c r="B14" s="70" t="inlineStr">
        <is>
          <t>ПОДОЛЬСКИЙ АРТЁМ</t>
        </is>
      </c>
      <c r="C14" s="69" t="n">
        <v>14</v>
      </c>
      <c r="D14" s="71">
        <f>IF(C14="","",C14/C$19)</f>
        <v/>
      </c>
      <c r="E14" s="69" t="n">
        <v>18</v>
      </c>
      <c r="F14" s="71">
        <f>IF(E14="","",E14/E$19)</f>
        <v/>
      </c>
      <c r="G14" s="104" t="n">
        <v>14</v>
      </c>
      <c r="H14" s="71">
        <f>IF(G14="","",G14/G$19)</f>
        <v/>
      </c>
      <c r="I14" s="69" t="n">
        <v>18</v>
      </c>
      <c r="J14" s="71">
        <f>IF(I14="","",I14/I$19)</f>
        <v/>
      </c>
    </row>
    <row r="15" ht="15" customHeight="1" s="57">
      <c r="A15" s="69" t="n">
        <v>12</v>
      </c>
      <c r="B15" s="70" t="inlineStr">
        <is>
          <t>РАМЕНСКАЯ ВЕРОНИКА</t>
        </is>
      </c>
      <c r="C15" s="69" t="n">
        <v>15</v>
      </c>
      <c r="D15" s="71">
        <f>IF(C15="","",C15/C$19)</f>
        <v/>
      </c>
      <c r="E15" s="69" t="n">
        <v>17</v>
      </c>
      <c r="F15" s="71">
        <f>IF(E15="","",E15/E$19)</f>
        <v/>
      </c>
      <c r="G15" s="69" t="n">
        <v>13</v>
      </c>
      <c r="H15" s="71">
        <f>IF(G15="","",G15/G$19)</f>
        <v/>
      </c>
      <c r="I15" s="69" t="n">
        <v>15</v>
      </c>
      <c r="J15" s="71">
        <f>IF(I15="","",I15/I$19)</f>
        <v/>
      </c>
    </row>
    <row r="16" ht="15" customHeight="1" s="57">
      <c r="A16" s="69" t="n">
        <v>13</v>
      </c>
      <c r="B16" s="70" t="inlineStr">
        <is>
          <t>РОМАЗЕЕВА АЛЁНА</t>
        </is>
      </c>
      <c r="C16" s="69" t="n">
        <v>8</v>
      </c>
      <c r="D16" s="71">
        <f>IF(C16="","",C16/C$19)</f>
        <v/>
      </c>
      <c r="E16" s="69" t="n">
        <v>11</v>
      </c>
      <c r="F16" s="71">
        <f>IF(E16="","",E16/E$19)</f>
        <v/>
      </c>
      <c r="G16" s="69" t="n">
        <v>9</v>
      </c>
      <c r="H16" s="71">
        <f>IF(G16="","",G16/G$19)</f>
        <v/>
      </c>
      <c r="I16" s="69" t="n">
        <v>9</v>
      </c>
      <c r="J16" s="71">
        <f>IF(I16="","",I16/I$19)</f>
        <v/>
      </c>
    </row>
    <row r="17" ht="15" customHeight="1" s="57">
      <c r="A17" s="69" t="n">
        <v>14</v>
      </c>
      <c r="B17" s="70" t="inlineStr">
        <is>
          <t>Романишина Ульяна</t>
        </is>
      </c>
      <c r="C17" s="69" t="n">
        <v>12</v>
      </c>
      <c r="D17" s="71">
        <f>IF(C17="","",C17/C$19)</f>
        <v/>
      </c>
      <c r="E17" s="69" t="n">
        <v>19</v>
      </c>
      <c r="F17" s="71">
        <f>IF(E17="","",E17/E$19)</f>
        <v/>
      </c>
      <c r="G17" s="69" t="n">
        <v>14</v>
      </c>
      <c r="H17" s="71">
        <f>IF(G17="","",G17/G$19)</f>
        <v/>
      </c>
      <c r="I17" s="69" t="n">
        <v>19</v>
      </c>
      <c r="J17" s="71">
        <f>IF(I17="","",I17/I$19)</f>
        <v/>
      </c>
    </row>
    <row r="19" ht="15" customHeight="1" s="57">
      <c r="B19" s="105" t="inlineStr">
        <is>
          <t>Максимальный балл</t>
        </is>
      </c>
      <c r="C19" s="106" t="n">
        <v>16</v>
      </c>
      <c r="E19" s="106" t="n">
        <v>20</v>
      </c>
      <c r="G19" s="106" t="n">
        <v>15</v>
      </c>
      <c r="I19" s="106" t="n">
        <v>20</v>
      </c>
    </row>
    <row r="20" ht="15" customHeight="1" s="57">
      <c r="B20" s="84" t="inlineStr">
        <is>
          <t>Средний по классу</t>
        </is>
      </c>
      <c r="C20" s="107">
        <f>AVERAGE(C4:C17)</f>
        <v/>
      </c>
      <c r="D20" s="108">
        <f>AVERAGE(D4:D17)</f>
        <v/>
      </c>
      <c r="E20" s="107">
        <f>AVERAGE(E4:E17)</f>
        <v/>
      </c>
      <c r="F20" s="108">
        <f>AVERAGE(F4:F17)</f>
        <v/>
      </c>
      <c r="G20" s="107">
        <f>AVERAGE(G4:G17)</f>
        <v/>
      </c>
      <c r="H20" s="108">
        <f>AVERAGE(H4:H17)</f>
        <v/>
      </c>
      <c r="I20" s="107">
        <f>AVERAGE(I4:I17)</f>
        <v/>
      </c>
      <c r="J20" s="108">
        <f>AVERAGE(J4:J17)</f>
        <v/>
      </c>
    </row>
    <row r="22" ht="15" customHeight="1" s="57">
      <c r="B22" s="77" t="inlineStr">
        <is>
          <t>Жёлтым отмечены исправленные/неразборчивые баллы — наведите на ячейку, там комментарий. Пустая ячейка = в тетради нет балла.</t>
        </is>
      </c>
    </row>
  </sheetData>
  <mergeCells count="7">
    <mergeCell ref="A1:J1"/>
    <mergeCell ref="C2:D2"/>
    <mergeCell ref="G2:H2"/>
    <mergeCell ref="E2:F2"/>
    <mergeCell ref="I2:J2"/>
    <mergeCell ref="B2:B3"/>
    <mergeCell ref="A2:A3"/>
  </mergeCells>
  <conditionalFormatting sqref="D4:D17">
    <cfRule type="cellIs" rank="0" priority="2" equalAverage="0" operator="lessThan" aboveAverage="0" dxfId="10" text="" percent="0" bottom="0">
      <formula>0.4</formula>
    </cfRule>
    <cfRule type="cellIs" rank="0" priority="3" equalAverage="0" operator="between" aboveAverage="0" dxfId="9" text="" percent="0" bottom="0">
      <formula>0.4</formula>
      <formula>0.6499</formula>
    </cfRule>
    <cfRule type="cellIs" rank="0" priority="4" equalAverage="0" operator="greaterThanOrEqual" aboveAverage="0" dxfId="7" text="" percent="0" bottom="0">
      <formula>0.85</formula>
    </cfRule>
  </conditionalFormatting>
  <conditionalFormatting sqref="F4:F17">
    <cfRule type="cellIs" rank="0" priority="5" equalAverage="0" operator="lessThan" aboveAverage="0" dxfId="10" text="" percent="0" bottom="0">
      <formula>0.4</formula>
    </cfRule>
    <cfRule type="cellIs" rank="0" priority="6" equalAverage="0" operator="between" aboveAverage="0" dxfId="9" text="" percent="0" bottom="0">
      <formula>0.4</formula>
      <formula>0.6499</formula>
    </cfRule>
    <cfRule type="cellIs" rank="0" priority="7" equalAverage="0" operator="greaterThanOrEqual" aboveAverage="0" dxfId="7" text="" percent="0" bottom="0">
      <formula>0.85</formula>
    </cfRule>
  </conditionalFormatting>
  <conditionalFormatting sqref="H4:H17">
    <cfRule type="cellIs" rank="0" priority="8" equalAverage="0" operator="lessThan" aboveAverage="0" dxfId="10" text="" percent="0" bottom="0">
      <formula>0.4</formula>
    </cfRule>
    <cfRule type="cellIs" rank="0" priority="9" equalAverage="0" operator="between" aboveAverage="0" dxfId="9" text="" percent="0" bottom="0">
      <formula>0.4</formula>
      <formula>0.6499</formula>
    </cfRule>
    <cfRule type="cellIs" rank="0" priority="10" equalAverage="0" operator="greaterThanOrEqual" aboveAverage="0" dxfId="7" text="" percent="0" bottom="0">
      <formula>0.85</formula>
    </cfRule>
  </conditionalFormatting>
  <conditionalFormatting sqref="J4:J17">
    <cfRule type="cellIs" rank="0" priority="11" equalAverage="0" operator="lessThan" aboveAverage="0" dxfId="10" text="" percent="0" bottom="0">
      <formula>0.4</formula>
    </cfRule>
    <cfRule type="cellIs" rank="0" priority="12" equalAverage="0" operator="between" aboveAverage="0" dxfId="9" text="" percent="0" bottom="0">
      <formula>0.4</formula>
      <formula>0.6499</formula>
    </cfRule>
    <cfRule type="cellIs" rank="0" priority="13" equalAverage="0" operator="greaterThanOrEqual" aboveAverage="0" dxfId="7" text="" percent="0" bottom="0">
      <formula>0.85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J21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G4" activeCellId="0" sqref="G4"/>
    </sheetView>
  </sheetViews>
  <sheetFormatPr baseColWidth="8" defaultColWidth="8.6796875" defaultRowHeight="15" customHeight="0" zeroHeight="0" outlineLevelRow="0"/>
  <cols>
    <col width="5" customWidth="1" style="56" min="1" max="1"/>
    <col width="28" customWidth="1" style="56" min="2" max="2"/>
    <col width="9" customWidth="1" style="56" min="3" max="3"/>
    <col width="7" customWidth="1" style="56" min="4" max="4"/>
    <col width="9" customWidth="1" style="56" min="5" max="5"/>
    <col width="7" customWidth="1" style="56" min="6" max="6"/>
    <col width="9" customWidth="1" style="56" min="7" max="7"/>
    <col width="7" customWidth="1" style="56" min="8" max="8"/>
    <col width="9" customWidth="1" style="56" min="9" max="9"/>
    <col width="7" customWidth="1" style="56" min="10" max="10"/>
  </cols>
  <sheetData>
    <row r="1" ht="17.25" customHeight="1" s="57">
      <c r="A1" s="58" t="inlineStr">
        <is>
          <t>8Б — СОР и СОЧ, 1 четверть (баллы из тетради)</t>
        </is>
      </c>
    </row>
    <row r="2" ht="31.5" customHeight="1" s="57">
      <c r="A2" s="63" t="inlineStr">
        <is>
          <t>№</t>
        </is>
      </c>
      <c r="B2" s="63" t="inlineStr">
        <is>
          <t>ФИО</t>
        </is>
      </c>
      <c r="C2" s="64" t="inlineStr">
        <is>
          <t>Алгебра СОР №1
(макс. 16)</t>
        </is>
      </c>
      <c r="D2" s="66" t="n"/>
      <c r="E2" s="64" t="inlineStr">
        <is>
          <t>Алгебра СОЧ
(макс. 20)</t>
        </is>
      </c>
      <c r="F2" s="66" t="n"/>
      <c r="G2" s="67" t="inlineStr">
        <is>
          <t>Геометрия СОР №1
(макс. 15)</t>
        </is>
      </c>
      <c r="H2" s="66" t="n"/>
      <c r="I2" s="67" t="inlineStr">
        <is>
          <t>Геометрия СОЧ
(макс. 20)</t>
        </is>
      </c>
      <c r="J2" s="66" t="n"/>
    </row>
    <row r="3" ht="15" customHeight="1" s="57">
      <c r="A3" s="68" t="n"/>
      <c r="B3" s="68" t="n"/>
      <c r="C3" s="64" t="inlineStr">
        <is>
          <t>Балл</t>
        </is>
      </c>
      <c r="D3" s="64" t="inlineStr">
        <is>
          <t>%</t>
        </is>
      </c>
      <c r="E3" s="64" t="inlineStr">
        <is>
          <t>Балл</t>
        </is>
      </c>
      <c r="F3" s="64" t="inlineStr">
        <is>
          <t>%</t>
        </is>
      </c>
      <c r="G3" s="67" t="inlineStr">
        <is>
          <t>Балл</t>
        </is>
      </c>
      <c r="H3" s="67" t="inlineStr">
        <is>
          <t>%</t>
        </is>
      </c>
      <c r="I3" s="67" t="inlineStr">
        <is>
          <t>Балл</t>
        </is>
      </c>
      <c r="J3" s="67" t="inlineStr">
        <is>
          <t>%</t>
        </is>
      </c>
    </row>
    <row r="4" ht="15" customHeight="1" s="57">
      <c r="A4" s="69" t="n">
        <v>1</v>
      </c>
      <c r="B4" s="70" t="inlineStr">
        <is>
          <t>ГАЛЛЕ ВАЛЕРИЙ</t>
        </is>
      </c>
      <c r="C4" s="69" t="n">
        <v>10</v>
      </c>
      <c r="D4" s="71">
        <f>IF(C4="","",C4/C$18)</f>
        <v/>
      </c>
      <c r="E4" s="104" t="n">
        <v>9</v>
      </c>
      <c r="F4" s="71">
        <f>IF(E4="","",E4/E$18)</f>
        <v/>
      </c>
      <c r="G4" s="69" t="n">
        <v>10</v>
      </c>
      <c r="H4" s="71">
        <f>IF(G4="","",G4/G$18)</f>
        <v/>
      </c>
      <c r="I4" s="69" t="n">
        <v>11</v>
      </c>
      <c r="J4" s="71">
        <f>IF(I4="","",I4/I$18)</f>
        <v/>
      </c>
    </row>
    <row r="5" ht="15" customHeight="1" s="57">
      <c r="A5" s="69" t="n">
        <v>2</v>
      </c>
      <c r="B5" s="70" t="inlineStr">
        <is>
          <t>ДОЙНЕКО СОФИЯ</t>
        </is>
      </c>
      <c r="C5" s="69" t="n">
        <v>16</v>
      </c>
      <c r="D5" s="71">
        <f>IF(C5="","",C5/C$18)</f>
        <v/>
      </c>
      <c r="E5" s="69" t="n">
        <v>16</v>
      </c>
      <c r="F5" s="71">
        <f>IF(E5="","",E5/E$18)</f>
        <v/>
      </c>
      <c r="G5" s="69" t="n">
        <v>13</v>
      </c>
      <c r="H5" s="71">
        <f>IF(G5="","",G5/G$18)</f>
        <v/>
      </c>
      <c r="I5" s="69" t="n">
        <v>15</v>
      </c>
      <c r="J5" s="71">
        <f>IF(I5="","",I5/I$18)</f>
        <v/>
      </c>
    </row>
    <row r="6" ht="15" customHeight="1" s="57">
      <c r="A6" s="69" t="n">
        <v>3</v>
      </c>
      <c r="B6" s="70" t="inlineStr">
        <is>
          <t>ЖЕЛНИНА ВЕРА</t>
        </is>
      </c>
      <c r="C6" s="69" t="n">
        <v>14</v>
      </c>
      <c r="D6" s="71">
        <f>IF(C6="","",C6/C$18)</f>
        <v/>
      </c>
      <c r="E6" s="104" t="n">
        <v>13</v>
      </c>
      <c r="F6" s="71">
        <f>IF(E6="","",E6/E$18)</f>
        <v/>
      </c>
      <c r="G6" s="69" t="n">
        <v>12</v>
      </c>
      <c r="H6" s="71">
        <f>IF(G6="","",G6/G$18)</f>
        <v/>
      </c>
      <c r="I6" s="69" t="n">
        <v>15</v>
      </c>
      <c r="J6" s="71">
        <f>IF(I6="","",I6/I$18)</f>
        <v/>
      </c>
    </row>
    <row r="7" ht="15" customHeight="1" s="57">
      <c r="A7" s="69" t="n">
        <v>4</v>
      </c>
      <c r="B7" s="70" t="inlineStr">
        <is>
          <t>ПОТАНИН ВАЛЕРИЙ</t>
        </is>
      </c>
      <c r="C7" s="69" t="n">
        <v>8</v>
      </c>
      <c r="D7" s="71">
        <f>IF(C7="","",C7/C$18)</f>
        <v/>
      </c>
      <c r="E7" s="69" t="n">
        <v>10</v>
      </c>
      <c r="F7" s="71">
        <f>IF(E7="","",E7/E$18)</f>
        <v/>
      </c>
      <c r="G7" s="69" t="n">
        <v>10</v>
      </c>
      <c r="H7" s="71">
        <f>IF(G7="","",G7/G$18)</f>
        <v/>
      </c>
      <c r="I7" s="69" t="n">
        <v>10</v>
      </c>
      <c r="J7" s="71">
        <f>IF(I7="","",I7/I$18)</f>
        <v/>
      </c>
    </row>
    <row r="8" ht="15" customHeight="1" s="57">
      <c r="A8" s="69" t="n">
        <v>5</v>
      </c>
      <c r="B8" s="70" t="inlineStr">
        <is>
          <t>РОМАНОВА ЕВА</t>
        </is>
      </c>
      <c r="C8" s="69" t="n">
        <v>10</v>
      </c>
      <c r="D8" s="71">
        <f>IF(C8="","",C8/C$18)</f>
        <v/>
      </c>
      <c r="E8" s="69" t="n">
        <v>13</v>
      </c>
      <c r="F8" s="71">
        <f>IF(E8="","",E8/E$18)</f>
        <v/>
      </c>
      <c r="G8" s="69" t="n">
        <v>12</v>
      </c>
      <c r="H8" s="71">
        <f>IF(G8="","",G8/G$18)</f>
        <v/>
      </c>
      <c r="I8" s="104" t="n">
        <v>12</v>
      </c>
      <c r="J8" s="71">
        <f>IF(I8="","",I8/I$18)</f>
        <v/>
      </c>
    </row>
    <row r="9" ht="15" customHeight="1" s="57">
      <c r="A9" s="69" t="n">
        <v>6</v>
      </c>
      <c r="B9" s="70" t="inlineStr">
        <is>
          <t>САҒИТ ӘМІР</t>
        </is>
      </c>
      <c r="C9" s="69" t="n">
        <v>12</v>
      </c>
      <c r="D9" s="71">
        <f>IF(C9="","",C9/C$18)</f>
        <v/>
      </c>
      <c r="E9" s="69" t="n">
        <v>14</v>
      </c>
      <c r="F9" s="71">
        <f>IF(E9="","",E9/E$18)</f>
        <v/>
      </c>
      <c r="G9" s="69" t="n">
        <v>12</v>
      </c>
      <c r="H9" s="71">
        <f>IF(G9="","",G9/G$18)</f>
        <v/>
      </c>
      <c r="I9" s="69" t="n">
        <v>12</v>
      </c>
      <c r="J9" s="71">
        <f>IF(I9="","",I9/I$18)</f>
        <v/>
      </c>
    </row>
    <row r="10" ht="15" customHeight="1" s="57">
      <c r="A10" s="69" t="n">
        <v>7</v>
      </c>
      <c r="B10" s="70" t="inlineStr">
        <is>
          <t>ТОРЧИНСКИЙ МАТВЕЙ</t>
        </is>
      </c>
      <c r="C10" s="69" t="n">
        <v>11</v>
      </c>
      <c r="D10" s="71">
        <f>IF(C10="","",C10/C$18)</f>
        <v/>
      </c>
      <c r="E10" s="69" t="n">
        <v>14</v>
      </c>
      <c r="F10" s="71">
        <f>IF(E10="","",E10/E$18)</f>
        <v/>
      </c>
      <c r="G10" s="69" t="n">
        <v>10</v>
      </c>
      <c r="H10" s="71">
        <f>IF(G10="","",G10/G$18)</f>
        <v/>
      </c>
      <c r="I10" s="69" t="n">
        <v>14</v>
      </c>
      <c r="J10" s="71">
        <f>IF(I10="","",I10/I$18)</f>
        <v/>
      </c>
    </row>
    <row r="11" ht="15" customHeight="1" s="57">
      <c r="A11" s="69" t="n">
        <v>8</v>
      </c>
      <c r="B11" s="70" t="inlineStr">
        <is>
          <t>ФОМИН МАКСИМ</t>
        </is>
      </c>
      <c r="C11" s="69" t="n">
        <v>12</v>
      </c>
      <c r="D11" s="71">
        <f>IF(C11="","",C11/C$18)</f>
        <v/>
      </c>
      <c r="E11" s="69" t="n">
        <v>15</v>
      </c>
      <c r="F11" s="71">
        <f>IF(E11="","",E11/E$18)</f>
        <v/>
      </c>
      <c r="G11" s="69" t="n">
        <v>14</v>
      </c>
      <c r="H11" s="71">
        <f>IF(G11="","",G11/G$18)</f>
        <v/>
      </c>
      <c r="I11" s="69" t="n">
        <v>14</v>
      </c>
      <c r="J11" s="71">
        <f>IF(I11="","",I11/I$18)</f>
        <v/>
      </c>
    </row>
    <row r="12" ht="15" customHeight="1" s="57">
      <c r="A12" s="69" t="n">
        <v>9</v>
      </c>
      <c r="B12" s="70" t="inlineStr">
        <is>
          <t>ЧАЙКА ТАИСИЯ</t>
        </is>
      </c>
      <c r="C12" s="69" t="n">
        <v>15</v>
      </c>
      <c r="D12" s="71">
        <f>IF(C12="","",C12/C$18)</f>
        <v/>
      </c>
      <c r="E12" s="69" t="n">
        <v>19</v>
      </c>
      <c r="F12" s="71">
        <f>IF(E12="","",E12/E$18)</f>
        <v/>
      </c>
      <c r="G12" s="69" t="n">
        <v>15</v>
      </c>
      <c r="H12" s="71">
        <f>IF(G12="","",G12/G$18)</f>
        <v/>
      </c>
      <c r="I12" s="69" t="n">
        <v>18</v>
      </c>
      <c r="J12" s="71">
        <f>IF(I12="","",I12/I$18)</f>
        <v/>
      </c>
    </row>
    <row r="13" ht="15" customHeight="1" s="57">
      <c r="A13" s="69" t="n">
        <v>10</v>
      </c>
      <c r="B13" s="70" t="inlineStr">
        <is>
          <t>ШАРБАКПАЕВА АЙДАРИЯ</t>
        </is>
      </c>
      <c r="C13" s="69" t="n">
        <v>13</v>
      </c>
      <c r="D13" s="71">
        <f>IF(C13="","",C13/C$18)</f>
        <v/>
      </c>
      <c r="E13" s="69" t="n">
        <v>15</v>
      </c>
      <c r="F13" s="71">
        <f>IF(E13="","",E13/E$18)</f>
        <v/>
      </c>
      <c r="G13" s="69" t="n">
        <v>11</v>
      </c>
      <c r="H13" s="71">
        <f>IF(G13="","",G13/G$18)</f>
        <v/>
      </c>
      <c r="I13" s="69" t="n">
        <v>15</v>
      </c>
      <c r="J13" s="71">
        <f>IF(I13="","",I13/I$18)</f>
        <v/>
      </c>
    </row>
    <row r="14" ht="15" customHeight="1" s="57">
      <c r="A14" s="69" t="n">
        <v>11</v>
      </c>
      <c r="B14" s="70" t="inlineStr">
        <is>
          <t>ШАРИПОВА ВЕРА</t>
        </is>
      </c>
      <c r="C14" s="69" t="n">
        <v>8</v>
      </c>
      <c r="D14" s="71">
        <f>IF(C14="","",C14/C$18)</f>
        <v/>
      </c>
      <c r="E14" s="69" t="n">
        <v>10</v>
      </c>
      <c r="F14" s="71">
        <f>IF(E14="","",E14/E$18)</f>
        <v/>
      </c>
      <c r="G14" s="69" t="n">
        <v>9</v>
      </c>
      <c r="H14" s="71">
        <f>IF(G14="","",G14/G$18)</f>
        <v/>
      </c>
      <c r="I14" s="69" t="n">
        <v>11</v>
      </c>
      <c r="J14" s="71">
        <f>IF(I14="","",I14/I$18)</f>
        <v/>
      </c>
    </row>
    <row r="15" ht="15" customHeight="1" s="57">
      <c r="A15" s="69" t="n">
        <v>12</v>
      </c>
      <c r="B15" s="70" t="inlineStr">
        <is>
          <t>ШИШ АРТЁМ</t>
        </is>
      </c>
      <c r="C15" s="69" t="n">
        <v>8</v>
      </c>
      <c r="D15" s="71">
        <f>IF(C15="","",C15/C$18)</f>
        <v/>
      </c>
      <c r="E15" s="69" t="n">
        <v>10</v>
      </c>
      <c r="F15" s="71">
        <f>IF(E15="","",E15/E$18)</f>
        <v/>
      </c>
      <c r="G15" s="69" t="n">
        <v>9</v>
      </c>
      <c r="H15" s="71">
        <f>IF(G15="","",G15/G$18)</f>
        <v/>
      </c>
      <c r="I15" s="69" t="n">
        <v>10</v>
      </c>
      <c r="J15" s="71">
        <f>IF(I15="","",I15/I$18)</f>
        <v/>
      </c>
    </row>
    <row r="16" ht="15" customHeight="1" s="57">
      <c r="A16" s="69" t="n">
        <v>13</v>
      </c>
      <c r="B16" s="70" t="inlineStr">
        <is>
          <t>ЩЕГЛОВ КИРИЛЛ</t>
        </is>
      </c>
      <c r="C16" s="69" t="n">
        <v>9</v>
      </c>
      <c r="D16" s="71">
        <f>IF(C16="","",C16/C$18)</f>
        <v/>
      </c>
      <c r="E16" s="69" t="n">
        <v>11</v>
      </c>
      <c r="F16" s="71">
        <f>IF(E16="","",E16/E$18)</f>
        <v/>
      </c>
      <c r="G16" s="69" t="n">
        <v>9</v>
      </c>
      <c r="H16" s="71">
        <f>IF(G16="","",G16/G$18)</f>
        <v/>
      </c>
      <c r="I16" s="69" t="n">
        <v>9</v>
      </c>
      <c r="J16" s="71">
        <f>IF(I16="","",I16/I$18)</f>
        <v/>
      </c>
    </row>
    <row r="18" ht="15" customHeight="1" s="57">
      <c r="B18" s="105" t="inlineStr">
        <is>
          <t>Максимальный балл</t>
        </is>
      </c>
      <c r="C18" s="106" t="n">
        <v>16</v>
      </c>
      <c r="E18" s="106" t="n">
        <v>20</v>
      </c>
      <c r="G18" s="106" t="n">
        <v>15</v>
      </c>
      <c r="I18" s="106" t="n">
        <v>20</v>
      </c>
    </row>
    <row r="19" ht="15" customHeight="1" s="57">
      <c r="B19" s="84" t="inlineStr">
        <is>
          <t>Средний по классу</t>
        </is>
      </c>
      <c r="C19" s="107">
        <f>AVERAGE(C4:C16)</f>
        <v/>
      </c>
      <c r="D19" s="108">
        <f>AVERAGE(D4:D16)</f>
        <v/>
      </c>
      <c r="E19" s="107">
        <f>AVERAGE(E4:E16)</f>
        <v/>
      </c>
      <c r="F19" s="108">
        <f>AVERAGE(F4:F16)</f>
        <v/>
      </c>
      <c r="G19" s="107">
        <f>AVERAGE(G4:G16)</f>
        <v/>
      </c>
      <c r="H19" s="108">
        <f>AVERAGE(H4:H16)</f>
        <v/>
      </c>
      <c r="I19" s="107">
        <f>AVERAGE(I4:I16)</f>
        <v/>
      </c>
      <c r="J19" s="108">
        <f>AVERAGE(J4:J16)</f>
        <v/>
      </c>
    </row>
    <row r="21" ht="15" customHeight="1" s="57">
      <c r="B21" s="77" t="inlineStr">
        <is>
          <t>Жёлтым отмечены исправленные/неразборчивые баллы — наведите на ячейку, там комментарий. Пустая ячейка = в тетради нет балла.</t>
        </is>
      </c>
    </row>
  </sheetData>
  <mergeCells count="7">
    <mergeCell ref="A1:J1"/>
    <mergeCell ref="C2:D2"/>
    <mergeCell ref="G2:H2"/>
    <mergeCell ref="E2:F2"/>
    <mergeCell ref="I2:J2"/>
    <mergeCell ref="B2:B3"/>
    <mergeCell ref="A2:A3"/>
  </mergeCells>
  <conditionalFormatting sqref="D4:D16">
    <cfRule type="cellIs" rank="0" priority="2" equalAverage="0" operator="lessThan" aboveAverage="0" dxfId="10" text="" percent="0" bottom="0">
      <formula>0.4</formula>
    </cfRule>
    <cfRule type="cellIs" rank="0" priority="3" equalAverage="0" operator="between" aboveAverage="0" dxfId="9" text="" percent="0" bottom="0">
      <formula>0.4</formula>
      <formula>0.6499</formula>
    </cfRule>
    <cfRule type="cellIs" rank="0" priority="4" equalAverage="0" operator="greaterThanOrEqual" aboveAverage="0" dxfId="7" text="" percent="0" bottom="0">
      <formula>0.85</formula>
    </cfRule>
  </conditionalFormatting>
  <conditionalFormatting sqref="F4:F16">
    <cfRule type="cellIs" rank="0" priority="5" equalAverage="0" operator="lessThan" aboveAverage="0" dxfId="10" text="" percent="0" bottom="0">
      <formula>0.4</formula>
    </cfRule>
    <cfRule type="cellIs" rank="0" priority="6" equalAverage="0" operator="between" aboveAverage="0" dxfId="9" text="" percent="0" bottom="0">
      <formula>0.4</formula>
      <formula>0.6499</formula>
    </cfRule>
    <cfRule type="cellIs" rank="0" priority="7" equalAverage="0" operator="greaterThanOrEqual" aboveAverage="0" dxfId="7" text="" percent="0" bottom="0">
      <formula>0.85</formula>
    </cfRule>
  </conditionalFormatting>
  <conditionalFormatting sqref="H4:H16">
    <cfRule type="cellIs" rank="0" priority="8" equalAverage="0" operator="lessThan" aboveAverage="0" dxfId="10" text="" percent="0" bottom="0">
      <formula>0.4</formula>
    </cfRule>
    <cfRule type="cellIs" rank="0" priority="9" equalAverage="0" operator="between" aboveAverage="0" dxfId="9" text="" percent="0" bottom="0">
      <formula>0.4</formula>
      <formula>0.6499</formula>
    </cfRule>
    <cfRule type="cellIs" rank="0" priority="10" equalAverage="0" operator="greaterThanOrEqual" aboveAverage="0" dxfId="7" text="" percent="0" bottom="0">
      <formula>0.85</formula>
    </cfRule>
  </conditionalFormatting>
  <conditionalFormatting sqref="J4:J16">
    <cfRule type="cellIs" rank="0" priority="11" equalAverage="0" operator="lessThan" aboveAverage="0" dxfId="10" text="" percent="0" bottom="0">
      <formula>0.4</formula>
    </cfRule>
    <cfRule type="cellIs" rank="0" priority="12" equalAverage="0" operator="between" aboveAverage="0" dxfId="9" text="" percent="0" bottom="0">
      <formula>0.4</formula>
      <formula>0.6499</formula>
    </cfRule>
    <cfRule type="cellIs" rank="0" priority="13" equalAverage="0" operator="greaterThanOrEqual" aboveAverage="0" dxfId="7" text="" percent="0" bottom="0">
      <formula>0.85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L28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C18" activeCellId="0" sqref="C18"/>
    </sheetView>
  </sheetViews>
  <sheetFormatPr baseColWidth="8" defaultColWidth="8.6796875" defaultRowHeight="15" customHeight="0" zeroHeight="0" outlineLevelRow="0"/>
  <cols>
    <col width="5" customWidth="1" style="56" min="1" max="1"/>
    <col width="28" customWidth="1" style="56" min="2" max="2"/>
    <col width="9" customWidth="1" style="56" min="3" max="3"/>
    <col width="7" customWidth="1" style="56" min="4" max="4"/>
    <col width="9" customWidth="1" style="56" min="5" max="5"/>
    <col width="7" customWidth="1" style="56" min="6" max="6"/>
    <col width="9" customWidth="1" style="56" min="7" max="7"/>
    <col width="7" customWidth="1" style="56" min="8" max="8"/>
    <col width="9" customWidth="1" style="56" min="9" max="9"/>
    <col width="7" customWidth="1" style="56" min="10" max="10"/>
    <col width="9" customWidth="1" style="56" min="11" max="11"/>
    <col width="7" customWidth="1" style="56" min="12" max="12"/>
  </cols>
  <sheetData>
    <row r="1" ht="17.25" customHeight="1" s="57">
      <c r="A1" s="58" t="inlineStr">
        <is>
          <t>9Б — СОР и СОЧ, 1 четверть (баллы из тетради)</t>
        </is>
      </c>
    </row>
    <row r="2" ht="31.5" customHeight="1" s="57">
      <c r="A2" s="63" t="inlineStr">
        <is>
          <t>№</t>
        </is>
      </c>
      <c r="B2" s="63" t="inlineStr">
        <is>
          <t>ФИО</t>
        </is>
      </c>
      <c r="C2" s="64" t="inlineStr">
        <is>
          <t>Алгебра СОР №1
(макс. 16)</t>
        </is>
      </c>
      <c r="D2" s="66" t="n"/>
      <c r="E2" s="64" t="inlineStr">
        <is>
          <t>Алгебра СОР №2
(макс. 16)</t>
        </is>
      </c>
      <c r="F2" s="66" t="n"/>
      <c r="G2" s="64" t="inlineStr">
        <is>
          <t>Алгебра СОЧ
(макс. 20)</t>
        </is>
      </c>
      <c r="H2" s="66" t="n"/>
      <c r="I2" s="67" t="inlineStr">
        <is>
          <t>Геометрия СОР
(макс. 15)</t>
        </is>
      </c>
      <c r="J2" s="66" t="n"/>
      <c r="K2" s="67" t="inlineStr">
        <is>
          <t>Геометрия СОЧ
(макс. 20)</t>
        </is>
      </c>
      <c r="L2" s="66" t="n"/>
    </row>
    <row r="3" ht="15" customHeight="1" s="57">
      <c r="A3" s="68" t="n"/>
      <c r="B3" s="68" t="n"/>
      <c r="C3" s="64" t="inlineStr">
        <is>
          <t>Балл</t>
        </is>
      </c>
      <c r="D3" s="64" t="inlineStr">
        <is>
          <t>%</t>
        </is>
      </c>
      <c r="E3" s="64" t="inlineStr">
        <is>
          <t>Балл</t>
        </is>
      </c>
      <c r="F3" s="64" t="inlineStr">
        <is>
          <t>%</t>
        </is>
      </c>
      <c r="G3" s="64" t="inlineStr">
        <is>
          <t>Балл</t>
        </is>
      </c>
      <c r="H3" s="64" t="inlineStr">
        <is>
          <t>%</t>
        </is>
      </c>
      <c r="I3" s="67" t="inlineStr">
        <is>
          <t>Балл</t>
        </is>
      </c>
      <c r="J3" s="67" t="inlineStr">
        <is>
          <t>%</t>
        </is>
      </c>
      <c r="K3" s="67" t="inlineStr">
        <is>
          <t>Балл</t>
        </is>
      </c>
      <c r="L3" s="67" t="inlineStr">
        <is>
          <t>%</t>
        </is>
      </c>
    </row>
    <row r="4" ht="15" customHeight="1" s="57">
      <c r="A4" s="69" t="n">
        <v>1</v>
      </c>
      <c r="B4" s="70" t="inlineStr">
        <is>
          <t>АКАУОВ АНСАР</t>
        </is>
      </c>
      <c r="C4" s="69" t="n">
        <v>13</v>
      </c>
      <c r="D4" s="71">
        <f>IF(C4="","",C4/C$25)</f>
        <v/>
      </c>
      <c r="E4" s="104" t="n">
        <v>14</v>
      </c>
      <c r="F4" s="71">
        <f>IF(E4="","",E4/E$25)</f>
        <v/>
      </c>
      <c r="G4" s="69" t="n">
        <v>17</v>
      </c>
      <c r="H4" s="71">
        <f>IF(G4="","",G4/G$25)</f>
        <v/>
      </c>
      <c r="I4" s="69" t="n">
        <v>15</v>
      </c>
      <c r="J4" s="71">
        <f>IF(I4="","",I4/I$25)</f>
        <v/>
      </c>
      <c r="K4" s="69" t="n">
        <v>17</v>
      </c>
      <c r="L4" s="71">
        <f>IF(K4="","",K4/K$25)</f>
        <v/>
      </c>
    </row>
    <row r="5" ht="15" customHeight="1" s="57">
      <c r="A5" s="69" t="n">
        <v>2</v>
      </c>
      <c r="B5" s="70" t="inlineStr">
        <is>
          <t>БАЙЛЬДИНОВ ИСЛАМ</t>
        </is>
      </c>
      <c r="C5" s="69" t="n">
        <v>10</v>
      </c>
      <c r="D5" s="71">
        <f>IF(C5="","",C5/C$25)</f>
        <v/>
      </c>
      <c r="E5" s="69" t="n">
        <v>15</v>
      </c>
      <c r="F5" s="71">
        <f>IF(E5="","",E5/E$25)</f>
        <v/>
      </c>
      <c r="G5" s="104" t="n">
        <v>14</v>
      </c>
      <c r="H5" s="71">
        <f>IF(G5="","",G5/G$25)</f>
        <v/>
      </c>
      <c r="I5" s="69" t="n">
        <v>14</v>
      </c>
      <c r="J5" s="71">
        <f>IF(I5="","",I5/I$25)</f>
        <v/>
      </c>
      <c r="K5" s="69" t="n">
        <v>16</v>
      </c>
      <c r="L5" s="71">
        <f>IF(K5="","",K5/K$25)</f>
        <v/>
      </c>
    </row>
    <row r="6" ht="15" customHeight="1" s="57">
      <c r="A6" s="69" t="n">
        <v>3</v>
      </c>
      <c r="B6" s="70" t="inlineStr">
        <is>
          <t>БАТУХТИНА ВИКТОРИЯ</t>
        </is>
      </c>
      <c r="C6" s="69" t="n">
        <v>11</v>
      </c>
      <c r="D6" s="71">
        <f>IF(C6="","",C6/C$25)</f>
        <v/>
      </c>
      <c r="E6" s="69" t="n">
        <v>13</v>
      </c>
      <c r="F6" s="71">
        <f>IF(E6="","",E6/E$25)</f>
        <v/>
      </c>
      <c r="G6" s="69" t="n">
        <v>15</v>
      </c>
      <c r="H6" s="71">
        <f>IF(G6="","",G6/G$25)</f>
        <v/>
      </c>
      <c r="I6" s="69" t="n">
        <v>11</v>
      </c>
      <c r="J6" s="71">
        <f>IF(I6="","",I6/I$25)</f>
        <v/>
      </c>
      <c r="K6" s="69" t="n">
        <v>16</v>
      </c>
      <c r="L6" s="71">
        <f>IF(K6="","",K6/K$25)</f>
        <v/>
      </c>
    </row>
    <row r="7" ht="15" customHeight="1" s="57">
      <c r="A7" s="69" t="n">
        <v>4</v>
      </c>
      <c r="B7" s="70" t="inlineStr">
        <is>
          <t>ГАЗИЕВ ТИМУР</t>
        </is>
      </c>
      <c r="C7" s="69" t="n">
        <v>12</v>
      </c>
      <c r="D7" s="71">
        <f>IF(C7="","",C7/C$25)</f>
        <v/>
      </c>
      <c r="E7" s="69" t="n">
        <v>13</v>
      </c>
      <c r="F7" s="71">
        <f>IF(E7="","",E7/E$25)</f>
        <v/>
      </c>
      <c r="G7" s="69" t="n">
        <v>14</v>
      </c>
      <c r="H7" s="71">
        <f>IF(G7="","",G7/G$25)</f>
        <v/>
      </c>
      <c r="I7" s="69" t="n">
        <v>12</v>
      </c>
      <c r="J7" s="71">
        <f>IF(I7="","",I7/I$25)</f>
        <v/>
      </c>
      <c r="K7" s="69" t="n">
        <v>14</v>
      </c>
      <c r="L7" s="71">
        <f>IF(K7="","",K7/K$25)</f>
        <v/>
      </c>
    </row>
    <row r="8" ht="15" customHeight="1" s="57">
      <c r="A8" s="69" t="n">
        <v>5</v>
      </c>
      <c r="B8" s="70" t="inlineStr">
        <is>
          <t>ГАНТИМУРОВА ЛЮБОВЬ</t>
        </is>
      </c>
      <c r="C8" s="69" t="n">
        <v>14</v>
      </c>
      <c r="D8" s="71">
        <f>IF(C8="","",C8/C$25)</f>
        <v/>
      </c>
      <c r="E8" s="69" t="n">
        <v>12</v>
      </c>
      <c r="F8" s="71">
        <f>IF(E8="","",E8/E$25)</f>
        <v/>
      </c>
      <c r="G8" s="69" t="n">
        <v>15</v>
      </c>
      <c r="H8" s="71">
        <f>IF(G8="","",G8/G$25)</f>
        <v/>
      </c>
      <c r="I8" s="69" t="n">
        <v>12</v>
      </c>
      <c r="J8" s="71">
        <f>IF(I8="","",I8/I$25)</f>
        <v/>
      </c>
      <c r="K8" s="69" t="n">
        <v>15</v>
      </c>
      <c r="L8" s="71">
        <f>IF(K8="","",K8/K$25)</f>
        <v/>
      </c>
    </row>
    <row r="9" ht="15" customHeight="1" s="57">
      <c r="A9" s="69" t="n">
        <v>6</v>
      </c>
      <c r="B9" s="70" t="inlineStr">
        <is>
          <t>ДОЙНЕКО ЭРНЕСТ</t>
        </is>
      </c>
      <c r="C9" s="69" t="n">
        <v>10</v>
      </c>
      <c r="D9" s="71">
        <f>IF(C9="","",C9/C$25)</f>
        <v/>
      </c>
      <c r="E9" s="69" t="n">
        <v>10</v>
      </c>
      <c r="F9" s="71">
        <f>IF(E9="","",E9/E$25)</f>
        <v/>
      </c>
      <c r="G9" s="69" t="n">
        <v>13</v>
      </c>
      <c r="H9" s="71">
        <f>IF(G9="","",G9/G$25)</f>
        <v/>
      </c>
      <c r="I9" s="69" t="n">
        <v>12</v>
      </c>
      <c r="J9" s="71">
        <f>IF(I9="","",I9/I$25)</f>
        <v/>
      </c>
      <c r="K9" s="69" t="n">
        <v>16</v>
      </c>
      <c r="L9" s="71">
        <f>IF(K9="","",K9/K$25)</f>
        <v/>
      </c>
    </row>
    <row r="10" ht="15" customHeight="1" s="57">
      <c r="A10" s="69" t="n">
        <v>7</v>
      </c>
      <c r="B10" s="70" t="inlineStr">
        <is>
          <t>КАЙРУЛЛИН АРСЕНТИЙ</t>
        </is>
      </c>
      <c r="C10" s="69" t="n">
        <v>8</v>
      </c>
      <c r="D10" s="71">
        <f>IF(C10="","",C10/C$25)</f>
        <v/>
      </c>
      <c r="E10" s="69" t="n">
        <v>10</v>
      </c>
      <c r="F10" s="71">
        <f>IF(E10="","",E10/E$25)</f>
        <v/>
      </c>
      <c r="G10" s="69" t="n">
        <v>9</v>
      </c>
      <c r="H10" s="71">
        <f>IF(G10="","",G10/G$25)</f>
        <v/>
      </c>
      <c r="I10" s="69" t="n">
        <v>8</v>
      </c>
      <c r="J10" s="71">
        <f>IF(I10="","",I10/I$25)</f>
        <v/>
      </c>
      <c r="K10" s="69" t="n">
        <v>9</v>
      </c>
      <c r="L10" s="71">
        <f>IF(K10="","",K10/K$25)</f>
        <v/>
      </c>
    </row>
    <row r="11" ht="15" customHeight="1" s="57">
      <c r="A11" s="69" t="n">
        <v>8</v>
      </c>
      <c r="B11" s="70" t="inlineStr">
        <is>
          <t>КОЗЛОВ ВАДИМ</t>
        </is>
      </c>
      <c r="C11" s="69" t="n">
        <v>10</v>
      </c>
      <c r="D11" s="71">
        <f>IF(C11="","",C11/C$25)</f>
        <v/>
      </c>
      <c r="E11" s="69" t="n">
        <v>9</v>
      </c>
      <c r="F11" s="71">
        <f>IF(E11="","",E11/E$25)</f>
        <v/>
      </c>
      <c r="G11" s="69" t="n">
        <v>10</v>
      </c>
      <c r="H11" s="71">
        <f>IF(G11="","",G11/G$25)</f>
        <v/>
      </c>
      <c r="I11" s="69" t="n">
        <v>10</v>
      </c>
      <c r="J11" s="71">
        <f>IF(I11="","",I11/I$25)</f>
        <v/>
      </c>
      <c r="K11" s="69" t="n">
        <v>14</v>
      </c>
      <c r="L11" s="71">
        <f>IF(K11="","",K11/K$25)</f>
        <v/>
      </c>
    </row>
    <row r="12" ht="15" customHeight="1" s="57">
      <c r="A12" s="69" t="n">
        <v>9</v>
      </c>
      <c r="B12" s="70" t="inlineStr">
        <is>
          <t>КОЛМОГОРОВА АНАСТАСИЯ</t>
        </is>
      </c>
      <c r="C12" s="69" t="n">
        <v>12</v>
      </c>
      <c r="D12" s="71">
        <f>IF(C12="","",C12/C$25)</f>
        <v/>
      </c>
      <c r="E12" s="69" t="n">
        <v>9</v>
      </c>
      <c r="F12" s="71">
        <f>IF(E12="","",E12/E$25)</f>
        <v/>
      </c>
      <c r="G12" s="69" t="n">
        <v>11</v>
      </c>
      <c r="H12" s="71">
        <f>IF(G12="","",G12/G$25)</f>
        <v/>
      </c>
      <c r="I12" s="69" t="n">
        <v>13</v>
      </c>
      <c r="J12" s="71">
        <f>IF(I12="","",I12/I$25)</f>
        <v/>
      </c>
      <c r="K12" s="69" t="n">
        <v>16</v>
      </c>
      <c r="L12" s="71">
        <f>IF(K12="","",K12/K$25)</f>
        <v/>
      </c>
    </row>
    <row r="13" ht="15" customHeight="1" s="57">
      <c r="A13" s="69" t="n">
        <v>10</v>
      </c>
      <c r="B13" s="70" t="inlineStr">
        <is>
          <t>КРАСНОПЕРОВА АМИНА</t>
        </is>
      </c>
      <c r="C13" s="69" t="n">
        <v>13</v>
      </c>
      <c r="D13" s="71">
        <f>IF(C13="","",C13/C$25)</f>
        <v/>
      </c>
      <c r="E13" s="69" t="n">
        <v>11</v>
      </c>
      <c r="F13" s="71">
        <f>IF(E13="","",E13/E$25)</f>
        <v/>
      </c>
      <c r="G13" s="69" t="n">
        <v>13</v>
      </c>
      <c r="H13" s="71">
        <f>IF(G13="","",G13/G$25)</f>
        <v/>
      </c>
      <c r="I13" s="69" t="n">
        <v>11</v>
      </c>
      <c r="J13" s="71">
        <f>IF(I13="","",I13/I$25)</f>
        <v/>
      </c>
      <c r="K13" s="69" t="n">
        <v>13</v>
      </c>
      <c r="L13" s="71">
        <f>IF(K13="","",K13/K$25)</f>
        <v/>
      </c>
    </row>
    <row r="14" ht="15" customHeight="1" s="57">
      <c r="A14" s="69" t="n">
        <v>11</v>
      </c>
      <c r="B14" s="70" t="inlineStr">
        <is>
          <t>КРАСНОПЕРОВА КАЛЕРИЯ</t>
        </is>
      </c>
      <c r="C14" s="69" t="n">
        <v>9</v>
      </c>
      <c r="D14" s="71">
        <f>IF(C14="","",C14/C$25)</f>
        <v/>
      </c>
      <c r="E14" s="69" t="n">
        <v>12</v>
      </c>
      <c r="F14" s="71">
        <f>IF(E14="","",E14/E$25)</f>
        <v/>
      </c>
      <c r="G14" s="69" t="n">
        <v>14</v>
      </c>
      <c r="H14" s="71">
        <f>IF(G14="","",G14/G$25)</f>
        <v/>
      </c>
      <c r="I14" s="69" t="n">
        <v>12</v>
      </c>
      <c r="J14" s="71">
        <f>IF(I14="","",I14/I$25)</f>
        <v/>
      </c>
      <c r="K14" s="69" t="n">
        <v>14</v>
      </c>
      <c r="L14" s="71">
        <f>IF(K14="","",K14/K$25)</f>
        <v/>
      </c>
    </row>
    <row r="15" ht="15" customHeight="1" s="57">
      <c r="A15" s="69" t="n">
        <v>12</v>
      </c>
      <c r="B15" s="70" t="inlineStr">
        <is>
          <t>ЛУЦИК АРСЕНИЙ</t>
        </is>
      </c>
      <c r="C15" s="69" t="n">
        <v>14</v>
      </c>
      <c r="D15" s="71">
        <f>IF(C15="","",C15/C$25)</f>
        <v/>
      </c>
      <c r="E15" s="69" t="n">
        <v>16</v>
      </c>
      <c r="F15" s="71">
        <f>IF(E15="","",E15/E$25)</f>
        <v/>
      </c>
      <c r="G15" s="69" t="n">
        <v>16</v>
      </c>
      <c r="H15" s="71">
        <f>IF(G15="","",G15/G$25)</f>
        <v/>
      </c>
      <c r="I15" s="69" t="n">
        <v>13</v>
      </c>
      <c r="J15" s="71">
        <f>IF(I15="","",I15/I$25)</f>
        <v/>
      </c>
      <c r="K15" s="69" t="n">
        <v>16</v>
      </c>
      <c r="L15" s="71">
        <f>IF(K15="","",K15/K$25)</f>
        <v/>
      </c>
    </row>
    <row r="16" ht="15" customHeight="1" s="57">
      <c r="A16" s="69" t="n">
        <v>13</v>
      </c>
      <c r="B16" s="70" t="inlineStr">
        <is>
          <t>ПАВЛОВА ЛЮБОВЬ</t>
        </is>
      </c>
      <c r="C16" s="69" t="n">
        <v>11</v>
      </c>
      <c r="D16" s="71">
        <f>IF(C16="","",C16/C$25)</f>
        <v/>
      </c>
      <c r="E16" s="69" t="n">
        <v>11</v>
      </c>
      <c r="F16" s="71">
        <f>IF(E16="","",E16/E$25)</f>
        <v/>
      </c>
      <c r="G16" s="69" t="n">
        <v>13</v>
      </c>
      <c r="H16" s="71">
        <f>IF(G16="","",G16/G$25)</f>
        <v/>
      </c>
      <c r="I16" s="69" t="n">
        <v>10</v>
      </c>
      <c r="J16" s="71">
        <f>IF(I16="","",I16/I$25)</f>
        <v/>
      </c>
      <c r="K16" s="69" t="n">
        <v>13</v>
      </c>
      <c r="L16" s="71">
        <f>IF(K16="","",K16/K$25)</f>
        <v/>
      </c>
    </row>
    <row r="17" ht="15" customHeight="1" s="57">
      <c r="A17" s="69" t="n">
        <v>14</v>
      </c>
      <c r="B17" s="70" t="inlineStr">
        <is>
          <t>ПОДОЛЬСКАЯ ВЕРОНИКА</t>
        </is>
      </c>
      <c r="C17" s="104" t="n">
        <v>14</v>
      </c>
      <c r="D17" s="71">
        <f>IF(C17="","",C17/C$25)</f>
        <v/>
      </c>
      <c r="E17" s="69" t="n">
        <v>12</v>
      </c>
      <c r="F17" s="71">
        <f>IF(E17="","",E17/E$25)</f>
        <v/>
      </c>
      <c r="G17" s="69" t="n">
        <v>14</v>
      </c>
      <c r="H17" s="71">
        <f>IF(G17="","",G17/G$25)</f>
        <v/>
      </c>
      <c r="I17" s="69" t="n">
        <v>14</v>
      </c>
      <c r="J17" s="71">
        <f>IF(I17="","",I17/I$25)</f>
        <v/>
      </c>
      <c r="K17" s="69" t="n">
        <v>13</v>
      </c>
      <c r="L17" s="71">
        <f>IF(K17="","",K17/K$25)</f>
        <v/>
      </c>
    </row>
    <row r="18" ht="15" customHeight="1" s="57">
      <c r="A18" s="69" t="n">
        <v>15</v>
      </c>
      <c r="B18" s="70" t="inlineStr">
        <is>
          <t>ПРИЙМАК ОЛЕГ</t>
        </is>
      </c>
      <c r="C18" s="69" t="n">
        <v>10</v>
      </c>
      <c r="D18" s="71">
        <f>IF(C18="","",C18/C$25)</f>
        <v/>
      </c>
      <c r="E18" s="69" t="n">
        <v>10</v>
      </c>
      <c r="F18" s="71">
        <f>IF(E18="","",E18/E$25)</f>
        <v/>
      </c>
      <c r="G18" s="69" t="n">
        <v>9</v>
      </c>
      <c r="H18" s="71">
        <f>IF(G18="","",G18/G$25)</f>
        <v/>
      </c>
      <c r="I18" s="69" t="n">
        <v>9</v>
      </c>
      <c r="J18" s="71">
        <f>IF(I18="","",I18/I$25)</f>
        <v/>
      </c>
      <c r="K18" s="69" t="n">
        <v>11</v>
      </c>
      <c r="L18" s="71">
        <f>IF(K18="","",K18/K$25)</f>
        <v/>
      </c>
    </row>
    <row r="19" ht="15" customHeight="1" s="57">
      <c r="A19" s="69" t="n">
        <v>16</v>
      </c>
      <c r="B19" s="70" t="inlineStr">
        <is>
          <t>ТАВОРСКАЯ МИЛАНА</t>
        </is>
      </c>
      <c r="C19" s="69" t="n">
        <v>12</v>
      </c>
      <c r="D19" s="71">
        <f>IF(C19="","",C19/C$25)</f>
        <v/>
      </c>
      <c r="E19" s="69" t="n">
        <v>15</v>
      </c>
      <c r="F19" s="71">
        <f>IF(E19="","",E19/E$25)</f>
        <v/>
      </c>
      <c r="G19" s="69" t="n">
        <v>19</v>
      </c>
      <c r="H19" s="71">
        <f>IF(G19="","",G19/G$25)</f>
        <v/>
      </c>
      <c r="I19" s="69" t="n">
        <v>14</v>
      </c>
      <c r="J19" s="71">
        <f>IF(I19="","",I19/I$25)</f>
        <v/>
      </c>
      <c r="K19" s="69" t="n">
        <v>18</v>
      </c>
      <c r="L19" s="71">
        <f>IF(K19="","",K19/K$25)</f>
        <v/>
      </c>
    </row>
    <row r="20" ht="15" customHeight="1" s="57">
      <c r="A20" s="69" t="n">
        <v>17</v>
      </c>
      <c r="B20" s="70" t="inlineStr">
        <is>
          <t>ТРУБЧАНИНОВА АРИНА</t>
        </is>
      </c>
      <c r="C20" s="69" t="n">
        <v>11</v>
      </c>
      <c r="D20" s="71">
        <f>IF(C20="","",C20/C$25)</f>
        <v/>
      </c>
      <c r="E20" s="69" t="n">
        <v>10</v>
      </c>
      <c r="F20" s="71">
        <f>IF(E20="","",E20/E$25)</f>
        <v/>
      </c>
      <c r="G20" s="69" t="n">
        <v>11</v>
      </c>
      <c r="H20" s="71">
        <f>IF(G20="","",G20/G$25)</f>
        <v/>
      </c>
      <c r="I20" s="69" t="n">
        <v>9</v>
      </c>
      <c r="J20" s="71">
        <f>IF(I20="","",I20/I$25)</f>
        <v/>
      </c>
      <c r="K20" s="69" t="n">
        <v>10</v>
      </c>
      <c r="L20" s="71">
        <f>IF(K20="","",K20/K$25)</f>
        <v/>
      </c>
    </row>
    <row r="21" ht="15" customHeight="1" s="57">
      <c r="A21" s="69" t="n">
        <v>18</v>
      </c>
      <c r="B21" s="70" t="inlineStr">
        <is>
          <t>ЧИЧМАРЕНКО ВИКТОР</t>
        </is>
      </c>
      <c r="C21" s="69" t="n">
        <v>13</v>
      </c>
      <c r="D21" s="71">
        <f>IF(C21="","",C21/C$25)</f>
        <v/>
      </c>
      <c r="E21" s="69" t="n">
        <v>16</v>
      </c>
      <c r="F21" s="71">
        <f>IF(E21="","",E21/E$25)</f>
        <v/>
      </c>
      <c r="G21" s="69" t="n">
        <v>18</v>
      </c>
      <c r="H21" s="71">
        <f>IF(G21="","",G21/G$25)</f>
        <v/>
      </c>
      <c r="I21" s="69" t="n">
        <v>15</v>
      </c>
      <c r="J21" s="71">
        <f>IF(I21="","",I21/I$25)</f>
        <v/>
      </c>
      <c r="K21" s="69" t="n">
        <v>18</v>
      </c>
      <c r="L21" s="71">
        <f>IF(K21="","",K21/K$25)</f>
        <v/>
      </c>
    </row>
    <row r="22" ht="15" customHeight="1" s="57">
      <c r="A22" s="69" t="n">
        <v>19</v>
      </c>
      <c r="B22" s="70" t="inlineStr">
        <is>
          <t>ШТОПЕЛЬ АНДРЕЙ</t>
        </is>
      </c>
      <c r="C22" s="69" t="n">
        <v>11</v>
      </c>
      <c r="D22" s="71">
        <f>IF(C22="","",C22/C$25)</f>
        <v/>
      </c>
      <c r="E22" s="69" t="n">
        <v>8</v>
      </c>
      <c r="F22" s="71">
        <f>IF(E22="","",E22/E$25)</f>
        <v/>
      </c>
      <c r="G22" s="69" t="n">
        <v>14</v>
      </c>
      <c r="H22" s="71">
        <f>IF(G22="","",G22/G$25)</f>
        <v/>
      </c>
      <c r="I22" s="104" t="n">
        <v>9</v>
      </c>
      <c r="J22" s="71">
        <f>IF(I22="","",I22/I$25)</f>
        <v/>
      </c>
      <c r="K22" s="69" t="n">
        <v>14</v>
      </c>
      <c r="L22" s="71">
        <f>IF(K22="","",K22/K$25)</f>
        <v/>
      </c>
    </row>
    <row r="23" ht="15" customHeight="1" s="57">
      <c r="A23" s="69" t="n">
        <v>20</v>
      </c>
      <c r="B23" s="70" t="inlineStr">
        <is>
          <t>ШТОПЕЛЬ ВАЛЕРИЯ</t>
        </is>
      </c>
      <c r="C23" s="69" t="n">
        <v>9</v>
      </c>
      <c r="D23" s="71">
        <f>IF(C23="","",C23/C$25)</f>
        <v/>
      </c>
      <c r="E23" s="69" t="n">
        <v>12</v>
      </c>
      <c r="F23" s="71">
        <f>IF(E23="","",E23/E$25)</f>
        <v/>
      </c>
      <c r="G23" s="69" t="n">
        <v>14</v>
      </c>
      <c r="H23" s="71">
        <f>IF(G23="","",G23/G$25)</f>
        <v/>
      </c>
      <c r="I23" s="69" t="n">
        <v>12</v>
      </c>
      <c r="J23" s="71">
        <f>IF(I23="","",I23/I$25)</f>
        <v/>
      </c>
      <c r="K23" s="69" t="n">
        <v>14</v>
      </c>
      <c r="L23" s="71">
        <f>IF(K23="","",K23/K$25)</f>
        <v/>
      </c>
    </row>
    <row r="25" ht="15" customHeight="1" s="57">
      <c r="B25" s="105" t="inlineStr">
        <is>
          <t>Максимальный балл</t>
        </is>
      </c>
      <c r="C25" s="106" t="n">
        <v>16</v>
      </c>
      <c r="E25" s="106" t="n">
        <v>16</v>
      </c>
      <c r="G25" s="106" t="n">
        <v>20</v>
      </c>
      <c r="I25" s="106" t="n">
        <v>15</v>
      </c>
      <c r="K25" s="106" t="n">
        <v>20</v>
      </c>
    </row>
    <row r="26" ht="15" customHeight="1" s="57">
      <c r="B26" s="84" t="inlineStr">
        <is>
          <t>Средний по классу</t>
        </is>
      </c>
      <c r="C26" s="107">
        <f>AVERAGE(C4:C23)</f>
        <v/>
      </c>
      <c r="D26" s="108">
        <f>AVERAGE(D4:D23)</f>
        <v/>
      </c>
      <c r="E26" s="107">
        <f>AVERAGE(E4:E23)</f>
        <v/>
      </c>
      <c r="F26" s="108">
        <f>AVERAGE(F4:F23)</f>
        <v/>
      </c>
      <c r="G26" s="107">
        <f>AVERAGE(G4:G23)</f>
        <v/>
      </c>
      <c r="H26" s="108">
        <f>AVERAGE(H4:H23)</f>
        <v/>
      </c>
      <c r="I26" s="107">
        <f>AVERAGE(I4:I23)</f>
        <v/>
      </c>
      <c r="J26" s="108">
        <f>AVERAGE(J4:J23)</f>
        <v/>
      </c>
      <c r="K26" s="107">
        <f>AVERAGE(K4:K23)</f>
        <v/>
      </c>
      <c r="L26" s="108">
        <f>AVERAGE(L4:L23)</f>
        <v/>
      </c>
    </row>
    <row r="28" ht="15" customHeight="1" s="57">
      <c r="B28" s="77" t="inlineStr">
        <is>
          <t>Жёлтым отмечены исправленные/неразборчивые баллы — наведите на ячейку, там комментарий. Пустая ячейка = в тетради нет балла.</t>
        </is>
      </c>
    </row>
  </sheetData>
  <mergeCells count="8">
    <mergeCell ref="C2:D2"/>
    <mergeCell ref="G2:H2"/>
    <mergeCell ref="E2:F2"/>
    <mergeCell ref="K2:L2"/>
    <mergeCell ref="I2:J2"/>
    <mergeCell ref="A1:L1"/>
    <mergeCell ref="B2:B3"/>
    <mergeCell ref="A2:A3"/>
  </mergeCells>
  <conditionalFormatting sqref="D4:D23">
    <cfRule type="cellIs" rank="0" priority="2" equalAverage="0" operator="lessThan" aboveAverage="0" dxfId="10" text="" percent="0" bottom="0">
      <formula>0.4</formula>
    </cfRule>
    <cfRule type="cellIs" rank="0" priority="3" equalAverage="0" operator="between" aboveAverage="0" dxfId="9" text="" percent="0" bottom="0">
      <formula>0.4</formula>
      <formula>0.6499</formula>
    </cfRule>
    <cfRule type="cellIs" rank="0" priority="4" equalAverage="0" operator="greaterThanOrEqual" aboveAverage="0" dxfId="7" text="" percent="0" bottom="0">
      <formula>0.85</formula>
    </cfRule>
  </conditionalFormatting>
  <conditionalFormatting sqref="F4:F23">
    <cfRule type="cellIs" rank="0" priority="5" equalAverage="0" operator="lessThan" aboveAverage="0" dxfId="10" text="" percent="0" bottom="0">
      <formula>0.4</formula>
    </cfRule>
    <cfRule type="cellIs" rank="0" priority="6" equalAverage="0" operator="between" aboveAverage="0" dxfId="9" text="" percent="0" bottom="0">
      <formula>0.4</formula>
      <formula>0.6499</formula>
    </cfRule>
    <cfRule type="cellIs" rank="0" priority="7" equalAverage="0" operator="greaterThanOrEqual" aboveAverage="0" dxfId="7" text="" percent="0" bottom="0">
      <formula>0.85</formula>
    </cfRule>
  </conditionalFormatting>
  <conditionalFormatting sqref="H4:H23">
    <cfRule type="cellIs" rank="0" priority="8" equalAverage="0" operator="lessThan" aboveAverage="0" dxfId="10" text="" percent="0" bottom="0">
      <formula>0.4</formula>
    </cfRule>
    <cfRule type="cellIs" rank="0" priority="9" equalAverage="0" operator="between" aboveAverage="0" dxfId="9" text="" percent="0" bottom="0">
      <formula>0.4</formula>
      <formula>0.6499</formula>
    </cfRule>
    <cfRule type="cellIs" rank="0" priority="10" equalAverage="0" operator="greaterThanOrEqual" aboveAverage="0" dxfId="7" text="" percent="0" bottom="0">
      <formula>0.85</formula>
    </cfRule>
  </conditionalFormatting>
  <conditionalFormatting sqref="J4:J23">
    <cfRule type="cellIs" rank="0" priority="11" equalAverage="0" operator="lessThan" aboveAverage="0" dxfId="10" text="" percent="0" bottom="0">
      <formula>0.4</formula>
    </cfRule>
    <cfRule type="cellIs" rank="0" priority="12" equalAverage="0" operator="between" aboveAverage="0" dxfId="9" text="" percent="0" bottom="0">
      <formula>0.4</formula>
      <formula>0.6499</formula>
    </cfRule>
    <cfRule type="cellIs" rank="0" priority="13" equalAverage="0" operator="greaterThanOrEqual" aboveAverage="0" dxfId="7" text="" percent="0" bottom="0">
      <formula>0.85</formula>
    </cfRule>
  </conditionalFormatting>
  <conditionalFormatting sqref="L4:L23">
    <cfRule type="cellIs" rank="0" priority="14" equalAverage="0" operator="lessThan" aboveAverage="0" dxfId="10" text="" percent="0" bottom="0">
      <formula>0.4</formula>
    </cfRule>
    <cfRule type="cellIs" rank="0" priority="15" equalAverage="0" operator="between" aboveAverage="0" dxfId="9" text="" percent="0" bottom="0">
      <formula>0.4</formula>
      <formula>0.6499</formula>
    </cfRule>
    <cfRule type="cellIs" rank="0" priority="16" equalAverage="0" operator="greaterThanOrEqual" aboveAverage="0" dxfId="7" text="" percent="0" bottom="0">
      <formula>0.85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N2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K4" activeCellId="0" sqref="K4"/>
    </sheetView>
  </sheetViews>
  <sheetFormatPr baseColWidth="8" defaultColWidth="8.6796875" defaultRowHeight="15" customHeight="0" zeroHeight="0" outlineLevelRow="0"/>
  <cols>
    <col width="5" customWidth="1" style="56" min="1" max="1"/>
    <col width="28" customWidth="1" style="56" min="2" max="2"/>
    <col width="9" customWidth="1" style="56" min="3" max="3"/>
    <col width="7" customWidth="1" style="56" min="4" max="4"/>
    <col width="9" customWidth="1" style="56" min="5" max="5"/>
    <col width="7" customWidth="1" style="56" min="6" max="6"/>
    <col width="9" customWidth="1" style="56" min="7" max="7"/>
    <col width="7" customWidth="1" style="56" min="8" max="8"/>
    <col width="9" customWidth="1" style="56" min="9" max="9"/>
    <col width="7" customWidth="1" style="56" min="10" max="10"/>
    <col width="9" customWidth="1" style="56" min="11" max="11"/>
    <col width="7" customWidth="1" style="56" min="12" max="12"/>
    <col width="9" customWidth="1" style="56" min="13" max="13"/>
    <col width="7" customWidth="1" style="56" min="14" max="14"/>
  </cols>
  <sheetData>
    <row r="1" ht="17.25" customHeight="1" s="57">
      <c r="A1" s="58" t="inlineStr">
        <is>
          <t>10А — СОР и СОЧ, 1 четверть (баллы из тетради)</t>
        </is>
      </c>
    </row>
    <row r="2" ht="31.5" customHeight="1" s="57">
      <c r="A2" s="63" t="inlineStr">
        <is>
          <t>№</t>
        </is>
      </c>
      <c r="B2" s="63" t="inlineStr">
        <is>
          <t>ФИО</t>
        </is>
      </c>
      <c r="C2" s="64" t="inlineStr">
        <is>
          <t>Алгебра СОР №1
(макс. 17)</t>
        </is>
      </c>
      <c r="D2" s="66" t="n"/>
      <c r="E2" s="64" t="inlineStr">
        <is>
          <t>Алгебра СОР №2
(макс. 18)</t>
        </is>
      </c>
      <c r="F2" s="66" t="n"/>
      <c r="G2" s="64" t="inlineStr">
        <is>
          <t>Алгебра СОР №3
(макс. 15)</t>
        </is>
      </c>
      <c r="H2" s="66" t="n"/>
      <c r="I2" s="64" t="inlineStr">
        <is>
          <t>Алгебра СОЧ
(макс. 25)</t>
        </is>
      </c>
      <c r="J2" s="66" t="n"/>
      <c r="K2" s="67" t="inlineStr">
        <is>
          <t>Геометрия СОР №1
(макс. 17)</t>
        </is>
      </c>
      <c r="L2" s="66" t="n"/>
      <c r="M2" s="67" t="inlineStr">
        <is>
          <t>Геометрия СОЧ
(макс. 20)</t>
        </is>
      </c>
      <c r="N2" s="66" t="n"/>
    </row>
    <row r="3" ht="15" customHeight="1" s="57">
      <c r="A3" s="68" t="n"/>
      <c r="B3" s="68" t="n"/>
      <c r="C3" s="64" t="inlineStr">
        <is>
          <t>Балл</t>
        </is>
      </c>
      <c r="D3" s="64" t="inlineStr">
        <is>
          <t>%</t>
        </is>
      </c>
      <c r="E3" s="64" t="inlineStr">
        <is>
          <t>Балл</t>
        </is>
      </c>
      <c r="F3" s="64" t="inlineStr">
        <is>
          <t>%</t>
        </is>
      </c>
      <c r="G3" s="64" t="inlineStr">
        <is>
          <t>Балл</t>
        </is>
      </c>
      <c r="H3" s="64" t="inlineStr">
        <is>
          <t>%</t>
        </is>
      </c>
      <c r="I3" s="64" t="inlineStr">
        <is>
          <t>Балл</t>
        </is>
      </c>
      <c r="J3" s="64" t="inlineStr">
        <is>
          <t>%</t>
        </is>
      </c>
      <c r="K3" s="67" t="inlineStr">
        <is>
          <t>Балл</t>
        </is>
      </c>
      <c r="L3" s="67" t="inlineStr">
        <is>
          <t>%</t>
        </is>
      </c>
      <c r="M3" s="67" t="inlineStr">
        <is>
          <t>Балл</t>
        </is>
      </c>
      <c r="N3" s="67" t="inlineStr">
        <is>
          <t>%</t>
        </is>
      </c>
    </row>
    <row r="4" ht="15" customHeight="1" s="57">
      <c r="A4" s="69" t="n">
        <v>1</v>
      </c>
      <c r="B4" s="70" t="inlineStr">
        <is>
          <t>АЛЕКСАНДРОВА МИЛЕНА</t>
        </is>
      </c>
      <c r="C4" s="69" t="n">
        <v>15</v>
      </c>
      <c r="D4" s="71">
        <f>IF(C4="","",C4/C$17)</f>
        <v/>
      </c>
      <c r="E4" s="69" t="n">
        <v>16</v>
      </c>
      <c r="F4" s="71">
        <f>IF(E4="","",E4/E$17)</f>
        <v/>
      </c>
      <c r="G4" s="69" t="n">
        <v>14</v>
      </c>
      <c r="H4" s="71">
        <f>IF(G4="","",G4/G$17)</f>
        <v/>
      </c>
      <c r="I4" s="104" t="n">
        <v>21</v>
      </c>
      <c r="J4" s="71">
        <f>IF(I4="","",I4/I$17)</f>
        <v/>
      </c>
      <c r="K4" s="69" t="n">
        <v>14</v>
      </c>
      <c r="L4" s="71">
        <f>IF(K4="","",K4/K$17)</f>
        <v/>
      </c>
      <c r="M4" s="104" t="n">
        <v>17</v>
      </c>
      <c r="N4" s="71">
        <f>IF(M4="","",M4/M$17)</f>
        <v/>
      </c>
    </row>
    <row r="5" ht="15" customHeight="1" s="57">
      <c r="A5" s="69" t="n">
        <v>2</v>
      </c>
      <c r="B5" s="70" t="inlineStr">
        <is>
          <t>ҒОМАР ТАМЕРЛАН</t>
        </is>
      </c>
      <c r="C5" s="69" t="n">
        <v>9</v>
      </c>
      <c r="D5" s="71">
        <f>IF(C5="","",C5/C$17)</f>
        <v/>
      </c>
      <c r="E5" s="69" t="n">
        <v>11</v>
      </c>
      <c r="F5" s="71">
        <f>IF(E5="","",E5/E$17)</f>
        <v/>
      </c>
      <c r="G5" s="69" t="n">
        <v>9</v>
      </c>
      <c r="H5" s="71">
        <f>IF(G5="","",G5/G$17)</f>
        <v/>
      </c>
      <c r="I5" s="69" t="n">
        <v>13</v>
      </c>
      <c r="J5" s="71">
        <f>IF(I5="","",I5/I$17)</f>
        <v/>
      </c>
      <c r="K5" s="104" t="n">
        <v>9</v>
      </c>
      <c r="L5" s="71">
        <f>IF(K5="","",K5/K$17)</f>
        <v/>
      </c>
      <c r="M5" s="69" t="n">
        <v>9</v>
      </c>
      <c r="N5" s="71">
        <f>IF(M5="","",M5/M$17)</f>
        <v/>
      </c>
    </row>
    <row r="6" ht="15" customHeight="1" s="57">
      <c r="A6" s="69" t="n">
        <v>3</v>
      </c>
      <c r="B6" s="70" t="inlineStr">
        <is>
          <t>ДУКАЧ АННА</t>
        </is>
      </c>
      <c r="C6" s="69" t="n">
        <v>15</v>
      </c>
      <c r="D6" s="71">
        <f>IF(C6="","",C6/C$17)</f>
        <v/>
      </c>
      <c r="E6" s="69" t="n">
        <v>14</v>
      </c>
      <c r="F6" s="71">
        <f>IF(E6="","",E6/E$17)</f>
        <v/>
      </c>
      <c r="G6" s="69" t="n">
        <v>12</v>
      </c>
      <c r="H6" s="71">
        <f>IF(G6="","",G6/G$17)</f>
        <v/>
      </c>
      <c r="I6" s="69" t="n">
        <v>18</v>
      </c>
      <c r="J6" s="71">
        <f>IF(I6="","",I6/I$17)</f>
        <v/>
      </c>
      <c r="K6" s="69" t="n">
        <v>13</v>
      </c>
      <c r="L6" s="71">
        <f>IF(K6="","",K6/K$17)</f>
        <v/>
      </c>
      <c r="M6" s="69" t="n">
        <v>14</v>
      </c>
      <c r="N6" s="71">
        <f>IF(M6="","",M6/M$17)</f>
        <v/>
      </c>
    </row>
    <row r="7" ht="15" customHeight="1" s="57">
      <c r="A7" s="69" t="n">
        <v>4</v>
      </c>
      <c r="B7" s="70" t="inlineStr">
        <is>
          <t>ИВАЩЕНКО ДАНИИЛ</t>
        </is>
      </c>
      <c r="C7" s="69" t="n">
        <v>17</v>
      </c>
      <c r="D7" s="71">
        <f>IF(C7="","",C7/C$17)</f>
        <v/>
      </c>
      <c r="E7" s="69" t="n">
        <v>17</v>
      </c>
      <c r="F7" s="71">
        <f>IF(E7="","",E7/E$17)</f>
        <v/>
      </c>
      <c r="G7" s="69" t="n">
        <v>15</v>
      </c>
      <c r="H7" s="71">
        <f>IF(G7="","",G7/G$17)</f>
        <v/>
      </c>
      <c r="I7" s="69" t="n">
        <v>22</v>
      </c>
      <c r="J7" s="71">
        <f>IF(I7="","",I7/I$17)</f>
        <v/>
      </c>
      <c r="K7" s="69" t="n">
        <v>16</v>
      </c>
      <c r="L7" s="71">
        <f>IF(K7="","",K7/K$17)</f>
        <v/>
      </c>
      <c r="M7" s="69" t="n">
        <v>18</v>
      </c>
      <c r="N7" s="71">
        <f>IF(M7="","",M7/M$17)</f>
        <v/>
      </c>
    </row>
    <row r="8" ht="15" customHeight="1" s="57">
      <c r="A8" s="69" t="n">
        <v>5</v>
      </c>
      <c r="B8" s="70" t="inlineStr">
        <is>
          <t>КЛЕВНО КАРИНА</t>
        </is>
      </c>
      <c r="C8" s="69" t="n">
        <v>15</v>
      </c>
      <c r="D8" s="71">
        <f>IF(C8="","",C8/C$17)</f>
        <v/>
      </c>
      <c r="E8" s="69" t="n">
        <v>14</v>
      </c>
      <c r="F8" s="71">
        <f>IF(E8="","",E8/E$17)</f>
        <v/>
      </c>
      <c r="G8" s="69" t="n">
        <v>13</v>
      </c>
      <c r="H8" s="71">
        <f>IF(G8="","",G8/G$17)</f>
        <v/>
      </c>
      <c r="I8" s="69" t="n">
        <v>19</v>
      </c>
      <c r="J8" s="71">
        <f>IF(I8="","",I8/I$17)</f>
        <v/>
      </c>
      <c r="K8" s="69" t="n">
        <v>13</v>
      </c>
      <c r="L8" s="71">
        <f>IF(K8="","",K8/K$17)</f>
        <v/>
      </c>
      <c r="M8" s="69" t="n">
        <v>15</v>
      </c>
      <c r="N8" s="71">
        <f>IF(M8="","",M8/M$17)</f>
        <v/>
      </c>
    </row>
    <row r="9" ht="15" customHeight="1" s="57">
      <c r="A9" s="69" t="n">
        <v>6</v>
      </c>
      <c r="B9" s="70" t="inlineStr">
        <is>
          <t>КОЗЛОВА КРИСТИНА</t>
        </is>
      </c>
      <c r="C9" s="69" t="n">
        <v>15</v>
      </c>
      <c r="D9" s="71">
        <f>IF(C9="","",C9/C$17)</f>
        <v/>
      </c>
      <c r="E9" s="69" t="n">
        <v>16</v>
      </c>
      <c r="F9" s="71">
        <f>IF(E9="","",E9/E$17)</f>
        <v/>
      </c>
      <c r="G9" s="69" t="n">
        <v>14</v>
      </c>
      <c r="H9" s="71">
        <f>IF(G9="","",G9/G$17)</f>
        <v/>
      </c>
      <c r="I9" s="104" t="n">
        <v>22</v>
      </c>
      <c r="J9" s="71">
        <f>IF(I9="","",I9/I$17)</f>
        <v/>
      </c>
      <c r="K9" s="69" t="n">
        <v>14</v>
      </c>
      <c r="L9" s="71">
        <f>IF(K9="","",K9/K$17)</f>
        <v/>
      </c>
      <c r="M9" s="104" t="n">
        <v>17</v>
      </c>
      <c r="N9" s="71">
        <f>IF(M9="","",M9/M$17)</f>
        <v/>
      </c>
    </row>
    <row r="10" ht="15" customHeight="1" s="57">
      <c r="A10" s="69" t="n">
        <v>7</v>
      </c>
      <c r="B10" s="70" t="inlineStr">
        <is>
          <t>КУЗНЕЦОВ ИЛЬЯ</t>
        </is>
      </c>
      <c r="C10" s="69" t="n">
        <v>9</v>
      </c>
      <c r="D10" s="71">
        <f>IF(C10="","",C10/C$17)</f>
        <v/>
      </c>
      <c r="E10" s="69" t="n">
        <v>12</v>
      </c>
      <c r="F10" s="71">
        <f>IF(E10="","",E10/E$17)</f>
        <v/>
      </c>
      <c r="G10" s="104" t="n">
        <v>10</v>
      </c>
      <c r="H10" s="71">
        <f>IF(G10="","",G10/G$17)</f>
        <v/>
      </c>
      <c r="I10" s="69" t="n">
        <v>13</v>
      </c>
      <c r="J10" s="71">
        <f>IF(I10="","",I10/I$17)</f>
        <v/>
      </c>
      <c r="K10" s="69" t="n">
        <v>8</v>
      </c>
      <c r="L10" s="71">
        <f>IF(K10="","",K10/K$17)</f>
        <v/>
      </c>
      <c r="M10" s="69" t="n">
        <v>10</v>
      </c>
      <c r="N10" s="71">
        <f>IF(M10="","",M10/M$17)</f>
        <v/>
      </c>
    </row>
    <row r="11" ht="15" customHeight="1" s="57">
      <c r="A11" s="69" t="n">
        <v>8</v>
      </c>
      <c r="B11" s="70" t="inlineStr">
        <is>
          <t>МАСЛОВ ДМИТРИЙ</t>
        </is>
      </c>
      <c r="C11" s="69" t="n">
        <v>10</v>
      </c>
      <c r="D11" s="71">
        <f>IF(C11="","",C11/C$17)</f>
        <v/>
      </c>
      <c r="E11" s="69" t="n">
        <v>11</v>
      </c>
      <c r="F11" s="71">
        <f>IF(E11="","",E11/E$17)</f>
        <v/>
      </c>
      <c r="G11" s="69" t="n">
        <v>9</v>
      </c>
      <c r="H11" s="71">
        <f>IF(G11="","",G11/G$17)</f>
        <v/>
      </c>
      <c r="I11" s="69" t="n">
        <v>14</v>
      </c>
      <c r="J11" s="71">
        <f>IF(I11="","",I11/I$17)</f>
        <v/>
      </c>
      <c r="K11" s="69" t="n">
        <v>9</v>
      </c>
      <c r="L11" s="71">
        <f>IF(K11="","",K11/K$17)</f>
        <v/>
      </c>
      <c r="M11" s="69" t="n">
        <v>11</v>
      </c>
      <c r="N11" s="71">
        <f>IF(M11="","",M11/M$17)</f>
        <v/>
      </c>
    </row>
    <row r="12" ht="15" customHeight="1" s="57">
      <c r="A12" s="69" t="n">
        <v>9</v>
      </c>
      <c r="B12" s="70" t="inlineStr">
        <is>
          <t>МИХАЛЬЦОВА ВИКТОРИЯ</t>
        </is>
      </c>
      <c r="C12" s="69" t="n">
        <v>13</v>
      </c>
      <c r="D12" s="71">
        <f>IF(C12="","",C12/C$17)</f>
        <v/>
      </c>
      <c r="E12" s="69" t="n">
        <v>12</v>
      </c>
      <c r="F12" s="71">
        <f>IF(E12="","",E12/E$17)</f>
        <v/>
      </c>
      <c r="G12" s="69" t="n">
        <v>9</v>
      </c>
      <c r="H12" s="71">
        <f>IF(G12="","",G12/G$17)</f>
        <v/>
      </c>
      <c r="I12" s="69" t="n">
        <v>14</v>
      </c>
      <c r="J12" s="71">
        <f>IF(I12="","",I12/I$17)</f>
        <v/>
      </c>
      <c r="K12" s="69" t="n">
        <v>9</v>
      </c>
      <c r="L12" s="71">
        <f>IF(K12="","",K12/K$17)</f>
        <v/>
      </c>
      <c r="M12" s="69" t="n">
        <v>11</v>
      </c>
      <c r="N12" s="71">
        <f>IF(M12="","",M12/M$17)</f>
        <v/>
      </c>
    </row>
    <row r="13" ht="15" customHeight="1" s="57">
      <c r="A13" s="69" t="n">
        <v>10</v>
      </c>
      <c r="B13" s="70" t="inlineStr">
        <is>
          <t>НИКОЛАЕВ АРТЁМ</t>
        </is>
      </c>
      <c r="C13" s="69" t="n">
        <v>10</v>
      </c>
      <c r="D13" s="71">
        <f>IF(C13="","",C13/C$17)</f>
        <v/>
      </c>
      <c r="E13" s="69" t="n">
        <v>10</v>
      </c>
      <c r="F13" s="71">
        <f>IF(E13="","",E13/E$17)</f>
        <v/>
      </c>
      <c r="G13" s="69" t="n">
        <v>8</v>
      </c>
      <c r="H13" s="71">
        <f>IF(G13="","",G13/G$17)</f>
        <v/>
      </c>
      <c r="I13" s="104" t="n">
        <v>12</v>
      </c>
      <c r="J13" s="71">
        <f>IF(I13="","",I13/I$17)</f>
        <v/>
      </c>
      <c r="K13" s="69" t="n">
        <v>8</v>
      </c>
      <c r="L13" s="71">
        <f>IF(K13="","",K13/K$17)</f>
        <v/>
      </c>
      <c r="M13" s="69" t="n">
        <v>9</v>
      </c>
      <c r="N13" s="71">
        <f>IF(M13="","",M13/M$17)</f>
        <v/>
      </c>
    </row>
    <row r="14" ht="15" customHeight="1" s="57">
      <c r="A14" s="69" t="n">
        <v>11</v>
      </c>
      <c r="B14" s="70" t="inlineStr">
        <is>
          <t>ОЛЬКОВ ВАСИЛИЙ</t>
        </is>
      </c>
      <c r="C14" s="69" t="n">
        <v>13</v>
      </c>
      <c r="D14" s="71">
        <f>IF(C14="","",C14/C$17)</f>
        <v/>
      </c>
      <c r="E14" s="69" t="n">
        <v>15</v>
      </c>
      <c r="F14" s="71">
        <f>IF(E14="","",E14/E$17)</f>
        <v/>
      </c>
      <c r="G14" s="69" t="n">
        <v>13</v>
      </c>
      <c r="H14" s="71">
        <f>IF(G14="","",G14/G$17)</f>
        <v/>
      </c>
      <c r="I14" s="69" t="n">
        <v>21</v>
      </c>
      <c r="J14" s="71">
        <f>IF(I14="","",I14/I$17)</f>
        <v/>
      </c>
      <c r="K14" s="69" t="n">
        <v>15</v>
      </c>
      <c r="L14" s="71">
        <f>IF(K14="","",K14/K$17)</f>
        <v/>
      </c>
      <c r="M14" s="69" t="n">
        <v>15</v>
      </c>
      <c r="N14" s="71">
        <f>IF(M14="","",M14/M$17)</f>
        <v/>
      </c>
    </row>
    <row r="15" ht="15" customHeight="1" s="57">
      <c r="A15" s="69" t="n">
        <v>12</v>
      </c>
      <c r="B15" s="70" t="inlineStr">
        <is>
          <t>ТУРГУМБАЕВ САМИР</t>
        </is>
      </c>
      <c r="C15" s="69" t="n">
        <v>13</v>
      </c>
      <c r="D15" s="71">
        <f>IF(C15="","",C15/C$17)</f>
        <v/>
      </c>
      <c r="E15" s="69" t="n">
        <v>14</v>
      </c>
      <c r="F15" s="71">
        <f>IF(E15="","",E15/E$17)</f>
        <v/>
      </c>
      <c r="G15" s="69" t="n">
        <v>12</v>
      </c>
      <c r="H15" s="71">
        <f>IF(G15="","",G15/G$17)</f>
        <v/>
      </c>
      <c r="I15" s="69" t="n">
        <v>18</v>
      </c>
      <c r="J15" s="71">
        <f>IF(I15="","",I15/I$17)</f>
        <v/>
      </c>
      <c r="K15" s="69" t="n">
        <v>13</v>
      </c>
      <c r="L15" s="71">
        <f>IF(K15="","",K15/K$17)</f>
        <v/>
      </c>
      <c r="M15" s="69" t="n">
        <v>13</v>
      </c>
      <c r="N15" s="71">
        <f>IF(M15="","",M15/M$17)</f>
        <v/>
      </c>
    </row>
    <row r="17" ht="15" customHeight="1" s="57">
      <c r="B17" s="105" t="inlineStr">
        <is>
          <t>Максимальный балл</t>
        </is>
      </c>
      <c r="C17" s="106" t="n">
        <v>17</v>
      </c>
      <c r="E17" s="106" t="n">
        <v>18</v>
      </c>
      <c r="G17" s="106" t="n">
        <v>15</v>
      </c>
      <c r="I17" s="106" t="n">
        <v>25</v>
      </c>
      <c r="K17" s="106" t="n">
        <v>17</v>
      </c>
      <c r="M17" s="106" t="n">
        <v>20</v>
      </c>
    </row>
    <row r="18" ht="15" customHeight="1" s="57">
      <c r="B18" s="84" t="inlineStr">
        <is>
          <t>Средний по классу</t>
        </is>
      </c>
      <c r="C18" s="107">
        <f>AVERAGE(C4:C15)</f>
        <v/>
      </c>
      <c r="D18" s="108">
        <f>AVERAGE(D4:D15)</f>
        <v/>
      </c>
      <c r="E18" s="107">
        <f>AVERAGE(E4:E15)</f>
        <v/>
      </c>
      <c r="F18" s="108">
        <f>AVERAGE(F4:F15)</f>
        <v/>
      </c>
      <c r="G18" s="107">
        <f>AVERAGE(G4:G15)</f>
        <v/>
      </c>
      <c r="H18" s="108">
        <f>AVERAGE(H4:H15)</f>
        <v/>
      </c>
      <c r="I18" s="107">
        <f>AVERAGE(I4:I15)</f>
        <v/>
      </c>
      <c r="J18" s="108">
        <f>AVERAGE(J4:J15)</f>
        <v/>
      </c>
      <c r="K18" s="107">
        <f>AVERAGE(K4:K15)</f>
        <v/>
      </c>
      <c r="L18" s="108">
        <f>AVERAGE(L4:L15)</f>
        <v/>
      </c>
      <c r="M18" s="107">
        <f>AVERAGE(M4:M15)</f>
        <v/>
      </c>
      <c r="N18" s="108">
        <f>AVERAGE(N4:N15)</f>
        <v/>
      </c>
    </row>
    <row r="20" ht="15" customHeight="1" s="57">
      <c r="B20" s="77" t="inlineStr">
        <is>
          <t>Жёлтым отмечены исправленные/неразборчивые баллы — наведите на ячейку, там комментарий. Пустая ячейка = в тетради нет балла.</t>
        </is>
      </c>
    </row>
  </sheetData>
  <mergeCells count="9">
    <mergeCell ref="M2:N2"/>
    <mergeCell ref="C2:D2"/>
    <mergeCell ref="G2:H2"/>
    <mergeCell ref="E2:F2"/>
    <mergeCell ref="K2:L2"/>
    <mergeCell ref="I2:J2"/>
    <mergeCell ref="B2:B3"/>
    <mergeCell ref="A2:A3"/>
    <mergeCell ref="A1:N1"/>
  </mergeCells>
  <conditionalFormatting sqref="D4:D15">
    <cfRule type="cellIs" rank="0" priority="2" equalAverage="0" operator="lessThan" aboveAverage="0" dxfId="10" text="" percent="0" bottom="0">
      <formula>0.4</formula>
    </cfRule>
    <cfRule type="cellIs" rank="0" priority="3" equalAverage="0" operator="between" aboveAverage="0" dxfId="9" text="" percent="0" bottom="0">
      <formula>0.4</formula>
      <formula>0.6499</formula>
    </cfRule>
    <cfRule type="cellIs" rank="0" priority="4" equalAverage="0" operator="greaterThanOrEqual" aboveAverage="0" dxfId="7" text="" percent="0" bottom="0">
      <formula>0.85</formula>
    </cfRule>
  </conditionalFormatting>
  <conditionalFormatting sqref="F4:F15">
    <cfRule type="cellIs" rank="0" priority="5" equalAverage="0" operator="lessThan" aboveAverage="0" dxfId="10" text="" percent="0" bottom="0">
      <formula>0.4</formula>
    </cfRule>
    <cfRule type="cellIs" rank="0" priority="6" equalAverage="0" operator="between" aboveAverage="0" dxfId="9" text="" percent="0" bottom="0">
      <formula>0.4</formula>
      <formula>0.6499</formula>
    </cfRule>
    <cfRule type="cellIs" rank="0" priority="7" equalAverage="0" operator="greaterThanOrEqual" aboveAverage="0" dxfId="7" text="" percent="0" bottom="0">
      <formula>0.85</formula>
    </cfRule>
  </conditionalFormatting>
  <conditionalFormatting sqref="H4:H15">
    <cfRule type="cellIs" rank="0" priority="8" equalAverage="0" operator="lessThan" aboveAverage="0" dxfId="10" text="" percent="0" bottom="0">
      <formula>0.4</formula>
    </cfRule>
    <cfRule type="cellIs" rank="0" priority="9" equalAverage="0" operator="between" aboveAverage="0" dxfId="9" text="" percent="0" bottom="0">
      <formula>0.4</formula>
      <formula>0.6499</formula>
    </cfRule>
    <cfRule type="cellIs" rank="0" priority="10" equalAverage="0" operator="greaterThanOrEqual" aboveAverage="0" dxfId="7" text="" percent="0" bottom="0">
      <formula>0.85</formula>
    </cfRule>
  </conditionalFormatting>
  <conditionalFormatting sqref="J4:J15">
    <cfRule type="cellIs" rank="0" priority="11" equalAverage="0" operator="lessThan" aboveAverage="0" dxfId="10" text="" percent="0" bottom="0">
      <formula>0.4</formula>
    </cfRule>
    <cfRule type="cellIs" rank="0" priority="12" equalAverage="0" operator="between" aboveAverage="0" dxfId="9" text="" percent="0" bottom="0">
      <formula>0.4</formula>
      <formula>0.6499</formula>
    </cfRule>
    <cfRule type="cellIs" rank="0" priority="13" equalAverage="0" operator="greaterThanOrEqual" aboveAverage="0" dxfId="7" text="" percent="0" bottom="0">
      <formula>0.85</formula>
    </cfRule>
  </conditionalFormatting>
  <conditionalFormatting sqref="L4:L15">
    <cfRule type="cellIs" rank="0" priority="14" equalAverage="0" operator="lessThan" aboveAverage="0" dxfId="10" text="" percent="0" bottom="0">
      <formula>0.4</formula>
    </cfRule>
    <cfRule type="cellIs" rank="0" priority="15" equalAverage="0" operator="between" aboveAverage="0" dxfId="9" text="" percent="0" bottom="0">
      <formula>0.4</formula>
      <formula>0.6499</formula>
    </cfRule>
    <cfRule type="cellIs" rank="0" priority="16" equalAverage="0" operator="greaterThanOrEqual" aboveAverage="0" dxfId="7" text="" percent="0" bottom="0">
      <formula>0.85</formula>
    </cfRule>
  </conditionalFormatting>
  <conditionalFormatting sqref="N4:N15">
    <cfRule type="cellIs" rank="0" priority="17" equalAverage="0" operator="lessThan" aboveAverage="0" dxfId="10" text="" percent="0" bottom="0">
      <formula>0.4</formula>
    </cfRule>
    <cfRule type="cellIs" rank="0" priority="18" equalAverage="0" operator="between" aboveAverage="0" dxfId="9" text="" percent="0" bottom="0">
      <formula>0.4</formula>
      <formula>0.6499</formula>
    </cfRule>
    <cfRule type="cellIs" rank="0" priority="19" equalAverage="0" operator="greaterThanOrEqual" aboveAverage="0" dxfId="7" text="" percent="0" bottom="0">
      <formula>0.85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56" min="1" max="1"/>
    <col width="10" customWidth="1" style="56" min="2" max="2"/>
  </cols>
  <sheetData>
    <row r="1" ht="17.25" customHeight="1" s="57">
      <c r="A1" s="91" t="inlineStr">
        <is>
          <t>Обозначения</t>
        </is>
      </c>
    </row>
    <row r="2" ht="15" customHeight="1" s="57">
      <c r="A2" s="109" t="inlineStr">
        <is>
          <t>Оценка 4 и ниже</t>
        </is>
      </c>
      <c r="B2" s="109" t="n"/>
    </row>
    <row r="3" ht="15" customHeight="1" s="57">
      <c r="A3" s="110" t="inlineStr">
        <is>
          <t>Оценка 5–6</t>
        </is>
      </c>
      <c r="B3" s="110" t="n"/>
    </row>
    <row r="4" ht="15" customHeight="1" s="57">
      <c r="A4" s="111" t="inlineStr">
        <is>
          <t>Оценка 7–10</t>
        </is>
      </c>
      <c r="B4" s="111" t="n"/>
    </row>
    <row r="5" ht="15" customHeight="1" s="57">
      <c r="A5" s="112" t="inlineStr">
        <is>
          <t>Заголовок СОР</t>
        </is>
      </c>
      <c r="B5" s="112" t="n"/>
    </row>
    <row r="6" ht="15" customHeight="1" s="57">
      <c r="A6" s="113" t="inlineStr">
        <is>
          <t>Заголовок СОЧ</t>
        </is>
      </c>
      <c r="B6" s="113" t="n"/>
    </row>
    <row r="8" ht="15" customHeight="1" s="57">
      <c r="A8" s="56" t="inlineStr">
        <is>
          <t>Источник: журнал BilimClass, выгрузка на 20.10.2026</t>
        </is>
      </c>
    </row>
    <row r="9" ht="15" customHeight="1" s="57">
      <c r="A9" s="56" t="inlineStr">
        <is>
          <t>Средний — среднее арифметическое выставленных оценок (пустые не учитываются).</t>
        </is>
      </c>
    </row>
    <row r="11" ht="15" customHeight="1" s="57">
      <c r="A11" s="56" t="inlineStr">
        <is>
          <t>Синим шрифтом — оценки, дозаполненные 21.10.2026 за последние дни (14.10–20.10) по четвертной: «5» → 9–10, «4» → 8, «3» → 5–6.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2026-10-20T17:41:08Z</dcterms:created>
  <dcterms:modified xmlns:dcterms="http://purl.org/dc/terms/" xmlns:xsi="http://www.w3.org/2001/XMLSchema-instance" xsi:type="dcterms:W3CDTF">2026-10-22T10:40:23Z</dcterms:modified>
  <cp:revision>4</cp:revision>
</cp:coreProperties>
</file>